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03dbf56cb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va Oficial do Integrador" sheetId="1" r:id="R168b8fbf0e894ffd"/>
    <x:sheet xmlns:r="http://schemas.openxmlformats.org/officeDocument/2006/relationships" name="Resumo das Fases" sheetId="2" r:id="R2db0cf3e182b43fc"/>
    <x:sheet xmlns:r="http://schemas.openxmlformats.org/officeDocument/2006/relationships" name="Dashboard Premium" sheetId="3" r:id="R041610d1fd4243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0&quot; kg/animal&quot;"/>
  </x:numFmts>
  <x:fonts count="11">
    <x:font>
      <x:sz val="11"/>
      <x:name val="Carlito"/>
    </x:font>
    <x:font>
      <x:sz val="10"/>
      <x:color rgb="FF062F4E"/>
      <x:name val="Aptos"/>
    </x:font>
    <x:font>
      <x:b/>
      <x:sz val="20"/>
      <x:color rgb="FFFFFFFF"/>
      <x:name val="Aptos"/>
    </x:font>
    <x:font>
      <x:b/>
      <x:sz val="10"/>
      <x:color rgb="FF052F4F"/>
      <x:name val="Aptos"/>
    </x:font>
    <x:font>
      <x:b/>
      <x:sz val="10"/>
      <x:color rgb="FFFFFFFF"/>
      <x:name val="Aptos"/>
    </x:font>
    <x:font>
      <x:b/>
      <x:sz val="14"/>
      <x:color rgb="FFFFFFFF"/>
      <x:name val="Aptos"/>
    </x:font>
    <x:font>
      <x:b/>
      <x:sz val="9"/>
      <x:color rgb="FF052F4F"/>
      <x:name val="Aptos"/>
    </x:font>
    <x:font>
      <x:b/>
      <x:sz val="19"/>
      <x:color rgb="FFFFFFFF"/>
      <x:name val="Aptos"/>
    </x:font>
    <x:font>
      <x:b/>
      <x:sz val="10"/>
      <x:color rgb="FF5D6D78"/>
      <x:name val="Aptos"/>
    </x:font>
    <x:font>
      <x:b/>
      <x:sz val="19"/>
      <x:color rgb="FF052F4F"/>
      <x:name val="Aptos"/>
    </x:font>
    <x:font>
      <x:b/>
      <x:sz val="9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63B64"/>
      </x:patternFill>
    </x:fill>
    <x:fill>
      <x:patternFill patternType="solid">
        <x:fgColor rgb="FFFFCD00"/>
      </x:patternFill>
    </x:fill>
    <x:fill>
      <x:patternFill patternType="solid">
        <x:fgColor rgb="FFF1F9F3"/>
      </x:patternFill>
    </x:fill>
    <x:fill>
      <x:patternFill patternType="solid">
        <x:fgColor rgb="FFDFF3E6"/>
      </x:patternFill>
    </x:fill>
    <x:fill>
      <x:patternFill patternType="solid">
        <x:fgColor rgb="FF052F4F"/>
      </x:patternFill>
    </x:fill>
    <x:fill>
      <x:patternFill patternType="solid">
        <x:fgColor rgb="FFF2F6F3"/>
      </x:patternFill>
    </x:fill>
  </x:fills>
  <x:borders count="11">
    <x:border/>
    <x:border>
      <x:left style="thin">
        <x:color rgb="FFCFDEE4"/>
      </x:left>
      <x:top style="thin">
        <x:color rgb="FFCFDEE4"/>
      </x:top>
    </x:border>
    <x:border>
      <x:top style="thin">
        <x:color rgb="FFCFDEE4"/>
      </x:top>
    </x:border>
    <x:border>
      <x:right style="thin">
        <x:color rgb="FFCFDEE4"/>
      </x:right>
      <x:top style="thin">
        <x:color rgb="FFCFDEE4"/>
      </x:top>
    </x:border>
    <x:border>
      <x:left style="thin">
        <x:color rgb="FFCFDEE4"/>
      </x:left>
    </x:border>
    <x:border>
      <x:right style="thin">
        <x:color rgb="FFCFDEE4"/>
      </x:right>
    </x:border>
    <x:border>
      <x:left style="thin">
        <x:color rgb="FFCFDEE4"/>
      </x:left>
      <x:bottom style="thin">
        <x:color rgb="FFCFDEE4"/>
      </x:bottom>
    </x:border>
    <x:border>
      <x:bottom style="thin">
        <x:color rgb="FFCFDEE4"/>
      </x:bottom>
    </x:border>
    <x:border>
      <x:right style="thin">
        <x:color rgb="FFCFDEE4"/>
      </x:right>
      <x:bottom style="thin">
        <x:color rgb="FFCFDEE4"/>
      </x:bottom>
    </x:border>
    <x:border>
      <x:left style="thin">
        <x:color rgb="FFCFDEE4"/>
      </x:left>
      <x:right style="thin">
        <x:color rgb="FFCFDEE4"/>
      </x:right>
      <x:top style="thin">
        <x:color rgb="FFCFDEE4"/>
      </x:top>
      <x:bottom style="thin">
        <x:color rgb="FFCFDEE4"/>
      </x:bottom>
    </x:border>
    <x:border>
      <x:left style="thin">
        <x:color rgb="FF32B34A"/>
      </x:left>
      <x:right style="thin">
        <x:color rgb="FF32B34A"/>
      </x:right>
      <x:top style="thin">
        <x:color rgb="FF32B34A"/>
      </x:top>
      <x:bottom style="thin">
        <x:color rgb="FF32B34A"/>
      </x:bottom>
    </x:border>
  </x:borders>
  <x:cellStyleXfs count="1">
    <x:xf numFmtId="0" fontId="0" fillId="0" borderId="0"/>
  </x:cellStyleXfs>
  <x:cellXfs count="16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0" xfId="0" applyNumberFormat="1" applyFont="1" applyFill="1" applyBorder="1"/>
    <x:xf numFmtId="0" fontId="1" fillId="3" borderId="5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0" xfId="0" applyNumberFormat="1" applyFont="1" applyFill="1" applyBorder="1"/>
    <x:xf numFmtId="0" fontId="2" fillId="3" borderId="5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5" xfId="0" applyNumberFormat="1" applyFont="1" applyFill="1" applyBorder="1"/>
    <x:xf numFmtId="0" fontId="3" fillId="4" borderId="0" xfId="0" applyNumberFormat="1" applyFont="1" applyFill="1" applyBorder="1"/>
    <x:xf numFmtId="0" fontId="3" fillId="4" borderId="5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1" fillId="3" borderId="4" xfId="0" applyNumberFormat="1" applyFont="1" applyFill="1" applyBorder="1"/>
    <x:xf numFmtId="0" fontId="4" fillId="3" borderId="4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9" xfId="0" applyNumberFormat="1" applyFont="1" applyFill="1" applyBorder="1"/>
    <x:xf numFmtId="0" fontId="3" fillId="2" borderId="9" xfId="0" applyNumberFormat="1" applyFont="1" applyFill="1" applyBorder="1"/>
    <x:xf numFmtId="0" fontId="3" fillId="2" borderId="9" xfId="0" applyNumberFormat="1" applyFont="1" applyFill="1" applyBorder="1" applyAlignment="1">
      <x:alignment horizontal="center"/>
    </x:xf>
    <x:xf numFmtId="0" fontId="3" fillId="2" borderId="9" xfId="0" applyNumberFormat="1" applyFont="1" applyFill="1" applyBorder="1" applyAlignment="1">
      <x:alignment horizontal="center" vertical="center"/>
    </x:xf>
    <x:xf numFmtId="0" fontId="1" fillId="5" borderId="4" xfId="0" applyNumberFormat="1" applyFont="1" applyFill="1" applyBorder="1"/>
    <x:xf numFmtId="0" fontId="1" fillId="5" borderId="0" xfId="0" applyNumberFormat="1" applyFont="1" applyFill="1" applyBorder="1"/>
    <x:xf numFmtId="0" fontId="1" fillId="5" borderId="9" xfId="0" applyNumberFormat="1" applyFont="1" applyFill="1" applyBorder="1"/>
    <x:xf numFmtId="0" fontId="3" fillId="5" borderId="9" xfId="0" applyNumberFormat="1" applyFont="1" applyFill="1" applyBorder="1"/>
    <x:xf numFmtId="0" fontId="3" fillId="5" borderId="9" xfId="0" applyNumberFormat="1" applyFont="1" applyFill="1" applyBorder="1" applyAlignment="1">
      <x:alignment horizontal="center"/>
    </x:xf>
    <x:xf numFmtId="0" fontId="3" fillId="5" borderId="9" xfId="0" applyNumberFormat="1" applyFont="1" applyFill="1" applyBorder="1" applyAlignment="1">
      <x:alignment horizontal="center" vertical="center"/>
    </x:xf>
    <x:xf numFmtId="200" fontId="1" fillId="2" borderId="9" xfId="0" applyNumberFormat="1" applyFont="1" applyFill="1" applyBorder="1"/>
    <x:xf numFmtId="200" fontId="1" fillId="5" borderId="9" xfId="0" applyNumberFormat="1" applyFont="1" applyFill="1" applyBorder="1"/>
    <x:xf numFmtId="201" fontId="1" fillId="2" borderId="9" xfId="0" applyNumberFormat="1" applyFont="1" applyFill="1" applyBorder="1"/>
    <x:xf numFmtId="201" fontId="1" fillId="5" borderId="9" xfId="0" applyNumberFormat="1" applyFont="1" applyFill="1" applyBorder="1"/>
    <x:xf numFmtId="200" fontId="1" fillId="2" borderId="9" xfId="0" applyNumberFormat="1" applyFont="1" applyFill="1" applyBorder="1" applyAlignment="1">
      <x:alignment vertical="center"/>
    </x:xf>
    <x:xf numFmtId="201" fontId="1" fillId="2" borderId="9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5" borderId="9" xfId="0" applyNumberFormat="1" applyFont="1" applyFill="1" applyBorder="1" applyAlignment="1">
      <x:alignment vertical="center"/>
    </x:xf>
    <x:xf numFmtId="201" fontId="1" fillId="5" borderId="9" xfId="0" applyNumberFormat="1" applyFont="1" applyFill="1" applyBorder="1" applyAlignment="1">
      <x:alignment vertical="center"/>
    </x:xf>
    <x:xf numFmtId="200" fontId="1" fillId="2" borderId="9" xfId="0" applyNumberFormat="1" applyFont="1" applyFill="1" applyBorder="1" applyAlignment="1">
      <x:alignment horizontal="center" vertical="center"/>
    </x:xf>
    <x:xf numFmtId="200" fontId="1" fillId="5" borderId="9" xfId="0" applyNumberFormat="1" applyFont="1" applyFill="1" applyBorder="1" applyAlignment="1">
      <x:alignment horizontal="center" vertical="center"/>
    </x:xf>
    <x:xf numFmtId="201" fontId="1" fillId="2" borderId="9" xfId="0" applyNumberFormat="1" applyFont="1" applyFill="1" applyBorder="1" applyAlignment="1">
      <x:alignment horizontal="right" vertical="center"/>
    </x:xf>
    <x:xf numFmtId="201" fontId="1" fillId="5" borderId="9" xfId="0" applyNumberFormat="1" applyFont="1" applyFill="1" applyBorder="1" applyAlignment="1">
      <x:alignment horizontal="right" vertical="center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10" xfId="0" applyNumberFormat="1" applyFont="1" applyFill="1" applyBorder="1" applyAlignment="1">
      <x:alignment vertical="center"/>
    </x:xf>
    <x:xf numFmtId="201" fontId="3" fillId="6" borderId="10" xfId="0" applyNumberFormat="1" applyFont="1" applyFill="1" applyBorder="1" applyAlignment="1">
      <x:alignment vertical="center"/>
    </x:xf>
    <x:xf numFmtId="201" fontId="3" fillId="6" borderId="10" xfId="0" applyNumberFormat="1" applyFont="1" applyFill="1" applyBorder="1" applyAlignment="1">
      <x:alignment horizontal="center" vertical="center"/>
    </x:xf>
    <x:xf numFmtId="0" fontId="1" fillId="6" borderId="5" xfId="0" applyNumberFormat="1" applyFont="1" applyFill="1" applyBorder="1"/>
    <x:xf numFmtId="0" fontId="3" fillId="6" borderId="5" xfId="0" applyNumberFormat="1" applyFont="1" applyFill="1" applyBorder="1"/>
    <x:xf numFmtId="0" fontId="3" fillId="6" borderId="10" xfId="0" applyNumberFormat="1" applyFont="1" applyFill="1" applyBorder="1"/>
    <x:xf numFmtId="201" fontId="3" fillId="6" borderId="10" xfId="0" applyNumberFormat="1" applyFont="1" applyFill="1" applyBorder="1"/>
    <x:xf numFmtId="201" fontId="3" fillId="6" borderId="10" xfId="0" applyNumberFormat="1" applyFont="1" applyFill="1" applyBorder="1" applyAlignment="1">
      <x:alignment horizontal="center"/>
    </x:xf>
    <x:xf numFmtId="0" fontId="1" fillId="7" borderId="4" xfId="0" applyNumberFormat="1" applyFont="1" applyFill="1" applyBorder="1"/>
    <x:xf numFmtId="0" fontId="1" fillId="7" borderId="0" xfId="0" applyNumberFormat="1" applyFont="1" applyFill="1" applyBorder="1"/>
    <x:xf numFmtId="0" fontId="4" fillId="7" borderId="4" xfId="0" applyNumberFormat="1" applyFont="1" applyFill="1" applyBorder="1"/>
    <x:xf numFmtId="0" fontId="4" fillId="7" borderId="0" xfId="0" applyNumberFormat="1" applyFont="1" applyFill="1" applyBorder="1"/>
    <x:xf numFmtId="0" fontId="4" fillId="7" borderId="4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/>
    <x:xf numFmtId="0" fontId="1" fillId="2" borderId="9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8" fillId="2" borderId="1" xfId="0" applyNumberFormat="1" applyFont="1" applyFill="1" applyBorder="1"/>
    <x:xf numFmtId="0" fontId="8" fillId="2" borderId="2" xfId="0" applyNumberFormat="1" applyFont="1" applyFill="1" applyBorder="1"/>
    <x:xf numFmtId="0" fontId="8" fillId="2" borderId="3" xfId="0" applyNumberFormat="1" applyFont="1" applyFill="1" applyBorder="1"/>
    <x:xf numFmtId="0" fontId="8" fillId="2" borderId="4" xfId="0" applyNumberFormat="1" applyFont="1" applyFill="1" applyBorder="1"/>
    <x:xf numFmtId="0" fontId="8" fillId="2" borderId="0" xfId="0" applyNumberFormat="1" applyFont="1" applyFill="1" applyBorder="1"/>
    <x:xf numFmtId="0" fontId="8" fillId="2" borderId="5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8" fillId="2" borderId="2" xfId="0" applyNumberFormat="1" applyFont="1" applyFill="1" applyBorder="1" applyAlignment="1">
      <x:alignment horizontal="center"/>
    </x:xf>
    <x:xf numFmtId="0" fontId="8" fillId="2" borderId="3" xfId="0" applyNumberFormat="1" applyFont="1" applyFill="1" applyBorder="1" applyAlignment="1">
      <x:alignment horizontal="center"/>
    </x:xf>
    <x:xf numFmtId="0" fontId="8" fillId="2" borderId="4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/>
    </x:xf>
    <x:xf numFmtId="0" fontId="8" fillId="2" borderId="5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8" fillId="2" borderId="2" xfId="0" applyNumberFormat="1" applyFont="1" applyFill="1" applyBorder="1" applyAlignment="1">
      <x:alignment horizontal="center" vertical="center"/>
    </x:xf>
    <x:xf numFmtId="0" fontId="8" fillId="2" borderId="3" xfId="0" applyNumberFormat="1" applyFont="1" applyFill="1" applyBorder="1" applyAlignment="1">
      <x:alignment horizontal="center" vertical="center"/>
    </x:xf>
    <x:xf numFmtId="0" fontId="8" fillId="2" borderId="4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2" borderId="5" xfId="0" applyNumberFormat="1" applyFont="1" applyFill="1" applyBorder="1" applyAlignment="1">
      <x:alignment horizontal="center" vertical="center"/>
    </x:xf>
    <x:xf numFmtId="0" fontId="9" fillId="2" borderId="4" xfId="0" applyNumberFormat="1" applyFont="1" applyFill="1" applyBorder="1"/>
    <x:xf numFmtId="0" fontId="9" fillId="2" borderId="0" xfId="0" applyNumberFormat="1" applyFont="1" applyFill="1" applyBorder="1"/>
    <x:xf numFmtId="0" fontId="9" fillId="2" borderId="5" xfId="0" applyNumberFormat="1" applyFont="1" applyFill="1" applyBorder="1"/>
    <x:xf numFmtId="0" fontId="9" fillId="2" borderId="6" xfId="0" applyNumberFormat="1" applyFont="1" applyFill="1" applyBorder="1"/>
    <x:xf numFmtId="0" fontId="9" fillId="2" borderId="7" xfId="0" applyNumberFormat="1" applyFont="1" applyFill="1" applyBorder="1"/>
    <x:xf numFmtId="0" fontId="9" fillId="2" borderId="8" xfId="0" applyNumberFormat="1" applyFont="1" applyFill="1" applyBorder="1"/>
    <x:xf numFmtId="202" fontId="9" fillId="2" borderId="4" xfId="0" applyNumberFormat="1" applyFont="1" applyFill="1" applyBorder="1"/>
    <x:xf numFmtId="202" fontId="9" fillId="2" borderId="0" xfId="0" applyNumberFormat="1" applyFont="1" applyFill="1" applyBorder="1"/>
    <x:xf numFmtId="202" fontId="9" fillId="2" borderId="5" xfId="0" applyNumberFormat="1" applyFont="1" applyFill="1" applyBorder="1"/>
    <x:xf numFmtId="202" fontId="9" fillId="2" borderId="6" xfId="0" applyNumberFormat="1" applyFont="1" applyFill="1" applyBorder="1"/>
    <x:xf numFmtId="202" fontId="9" fillId="2" borderId="7" xfId="0" applyNumberFormat="1" applyFont="1" applyFill="1" applyBorder="1"/>
    <x:xf numFmtId="202" fontId="9" fillId="2" borderId="8" xfId="0" applyNumberFormat="1" applyFont="1" applyFill="1" applyBorder="1"/>
    <x:xf numFmtId="202" fontId="9" fillId="2" borderId="4" xfId="0" applyNumberFormat="1" applyFont="1" applyFill="1" applyBorder="1" applyAlignment="1">
      <x:alignment horizontal="center"/>
    </x:xf>
    <x:xf numFmtId="202" fontId="9" fillId="2" borderId="0" xfId="0" applyNumberFormat="1" applyFont="1" applyFill="1" applyBorder="1" applyAlignment="1">
      <x:alignment horizontal="center"/>
    </x:xf>
    <x:xf numFmtId="202" fontId="9" fillId="2" borderId="5" xfId="0" applyNumberFormat="1" applyFont="1" applyFill="1" applyBorder="1" applyAlignment="1">
      <x:alignment horizontal="center"/>
    </x:xf>
    <x:xf numFmtId="202" fontId="9" fillId="2" borderId="6" xfId="0" applyNumberFormat="1" applyFont="1" applyFill="1" applyBorder="1" applyAlignment="1">
      <x:alignment horizontal="center"/>
    </x:xf>
    <x:xf numFmtId="202" fontId="9" fillId="2" borderId="7" xfId="0" applyNumberFormat="1" applyFont="1" applyFill="1" applyBorder="1" applyAlignment="1">
      <x:alignment horizontal="center"/>
    </x:xf>
    <x:xf numFmtId="202" fontId="9" fillId="2" borderId="8" xfId="0" applyNumberFormat="1" applyFont="1" applyFill="1" applyBorder="1" applyAlignment="1">
      <x:alignment horizontal="center"/>
    </x:xf>
    <x:xf numFmtId="202" fontId="9" fillId="2" borderId="4" xfId="0" applyNumberFormat="1" applyFont="1" applyFill="1" applyBorder="1" applyAlignment="1">
      <x:alignment horizontal="center" vertical="center"/>
    </x:xf>
    <x:xf numFmtId="202" fontId="9" fillId="2" borderId="0" xfId="0" applyNumberFormat="1" applyFont="1" applyFill="1" applyBorder="1" applyAlignment="1">
      <x:alignment horizontal="center" vertical="center"/>
    </x:xf>
    <x:xf numFmtId="202" fontId="9" fillId="2" borderId="5" xfId="0" applyNumberFormat="1" applyFont="1" applyFill="1" applyBorder="1" applyAlignment="1">
      <x:alignment horizontal="center" vertical="center"/>
    </x:xf>
    <x:xf numFmtId="202" fontId="9" fillId="2" borderId="6" xfId="0" applyNumberFormat="1" applyFont="1" applyFill="1" applyBorder="1" applyAlignment="1">
      <x:alignment horizontal="center" vertical="center"/>
    </x:xf>
    <x:xf numFmtId="202" fontId="9" fillId="2" borderId="7" xfId="0" applyNumberFormat="1" applyFont="1" applyFill="1" applyBorder="1" applyAlignment="1">
      <x:alignment horizontal="center" vertical="center"/>
    </x:xf>
    <x:xf numFmtId="202" fontId="9" fillId="2" borderId="8" xfId="0" applyNumberFormat="1" applyFont="1" applyFill="1" applyBorder="1" applyAlignment="1">
      <x:alignment horizontal="center" vertical="center"/>
    </x:xf>
    <x:xf numFmtId="200" fontId="9" fillId="2" borderId="4" xfId="0" applyNumberFormat="1" applyFont="1" applyFill="1" applyBorder="1"/>
    <x:xf numFmtId="200" fontId="9" fillId="2" borderId="0" xfId="0" applyNumberFormat="1" applyFont="1" applyFill="1" applyBorder="1"/>
    <x:xf numFmtId="200" fontId="9" fillId="2" borderId="5" xfId="0" applyNumberFormat="1" applyFont="1" applyFill="1" applyBorder="1"/>
    <x:xf numFmtId="200" fontId="9" fillId="2" borderId="6" xfId="0" applyNumberFormat="1" applyFont="1" applyFill="1" applyBorder="1"/>
    <x:xf numFmtId="200" fontId="9" fillId="2" borderId="7" xfId="0" applyNumberFormat="1" applyFont="1" applyFill="1" applyBorder="1"/>
    <x:xf numFmtId="200" fontId="9" fillId="2" borderId="8" xfId="0" applyNumberFormat="1" applyFont="1" applyFill="1" applyBorder="1"/>
    <x:xf numFmtId="200" fontId="9" fillId="2" borderId="4" xfId="0" applyNumberFormat="1" applyFont="1" applyFill="1" applyBorder="1" applyAlignment="1">
      <x:alignment horizontal="center"/>
    </x:xf>
    <x:xf numFmtId="200" fontId="9" fillId="2" borderId="0" xfId="0" applyNumberFormat="1" applyFont="1" applyFill="1" applyBorder="1" applyAlignment="1">
      <x:alignment horizontal="center"/>
    </x:xf>
    <x:xf numFmtId="200" fontId="9" fillId="2" borderId="5" xfId="0" applyNumberFormat="1" applyFont="1" applyFill="1" applyBorder="1" applyAlignment="1">
      <x:alignment horizontal="center"/>
    </x:xf>
    <x:xf numFmtId="200" fontId="9" fillId="2" borderId="6" xfId="0" applyNumberFormat="1" applyFont="1" applyFill="1" applyBorder="1" applyAlignment="1">
      <x:alignment horizontal="center"/>
    </x:xf>
    <x:xf numFmtId="200" fontId="9" fillId="2" borderId="7" xfId="0" applyNumberFormat="1" applyFont="1" applyFill="1" applyBorder="1" applyAlignment="1">
      <x:alignment horizontal="center"/>
    </x:xf>
    <x:xf numFmtId="200" fontId="9" fillId="2" borderId="8" xfId="0" applyNumberFormat="1" applyFont="1" applyFill="1" applyBorder="1" applyAlignment="1">
      <x:alignment horizontal="center"/>
    </x:xf>
    <x:xf numFmtId="200" fontId="9" fillId="2" borderId="4" xfId="0" applyNumberFormat="1" applyFont="1" applyFill="1" applyBorder="1" applyAlignment="1">
      <x:alignment horizontal="center" vertical="center"/>
    </x:xf>
    <x:xf numFmtId="200" fontId="9" fillId="2" borderId="0" xfId="0" applyNumberFormat="1" applyFont="1" applyFill="1" applyBorder="1" applyAlignment="1">
      <x:alignment horizontal="center" vertical="center"/>
    </x:xf>
    <x:xf numFmtId="200" fontId="9" fillId="2" borderId="5" xfId="0" applyNumberFormat="1" applyFont="1" applyFill="1" applyBorder="1" applyAlignment="1">
      <x:alignment horizontal="center" vertical="center"/>
    </x:xf>
    <x:xf numFmtId="200" fontId="9" fillId="2" borderId="6" xfId="0" applyNumberFormat="1" applyFont="1" applyFill="1" applyBorder="1" applyAlignment="1">
      <x:alignment horizontal="center" vertical="center"/>
    </x:xf>
    <x:xf numFmtId="200" fontId="9" fillId="2" borderId="7" xfId="0" applyNumberFormat="1" applyFont="1" applyFill="1" applyBorder="1" applyAlignment="1">
      <x:alignment horizontal="center" vertical="center"/>
    </x:xf>
    <x:xf numFmtId="200" fontId="9" fillId="2" borderId="8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color rgb="FF7A4E08"/>
      </x:font>
      <x:fill>
        <x:patternFill patternType="solid">
          <x:bgColor rgb="FFFFF5BF"/>
        </x:patternFill>
      </x:fill>
    </x:dxf>
    <x:dxf>
      <x:fill>
        <x:patternFill patternType="solid">
          <x:bgColor rgb="FFF1F9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35022fe0a9458e" /><Relationship Type="http://schemas.openxmlformats.org/officeDocument/2006/relationships/theme" Target="/xl/theme/theme1.xml" Id="R6151c8884ab74fb2" /><Relationship Type="http://schemas.openxmlformats.org/officeDocument/2006/relationships/sharedStrings" Target="/xl/sharedStrings.xml" Id="R3ee4474216054452" /><Relationship Type="http://schemas.openxmlformats.org/officeDocument/2006/relationships/worksheet" Target="/xl/worksheets/sheet1.xml" Id="R168b8fbf0e894ffd" /><Relationship Type="http://schemas.openxmlformats.org/officeDocument/2006/relationships/worksheet" Target="/xl/worksheets/sheet2.xml" Id="R2db0cf3e182b43fc" /><Relationship Type="http://schemas.openxmlformats.org/officeDocument/2006/relationships/worksheet" Target="/xl/worksheets/sheet3.xml" Id="R041610d1fd4243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c6729c5595c84e7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b12d2a9658f14ee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2ade104e40b44a7f" /><Relationship Type="http://schemas.openxmlformats.org/officeDocument/2006/relationships/chart" Target="/xl/drawings/charts/chart1.xml" Id="R082169daef314e95" /><Relationship Type="http://schemas.openxmlformats.org/officeDocument/2006/relationships/chart" Target="/xl/drawings/charts/chart2.xml" Id="R19ec905afa404a6f" /><Relationship Type="http://schemas.openxmlformats.org/officeDocument/2006/relationships/chart" Target="/xl/drawings/charts/chart3.xml" Id="R1a545dc3b4aa4740" /><Relationship Type="http://schemas.openxmlformats.org/officeDocument/2006/relationships/chart" Target="/xl/drawings/charts/chart4.xml" Id="Rdb66495e4e7246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Consumo diário (kg/animal)</a:t>
            </a:r>
          </a:p>
        </c:rich>
      </c:tx>
    </c:title>
    <c:plotArea>
      <c:lineChart>
        <c:grouping val="standard"/>
        <c:ser>
          <c:idx val="0"/>
          <c:order val="0"/>
          <c:tx>
            <c:v>Consumo diário</c:v>
          </c:tx>
          <c:spPr>
            <a:solidFill xmlns:a="http://schemas.openxmlformats.org/drawingml/2006/main">
              <a:srgbClr val="009B3A"/>
            </a:solidFill>
          </c:spPr>
          <c:marker>
            <c:symbol val="none"/>
          </c:marker>
          <c:cat>
            <c:strRef>
              <c:f>'Curva Oficial do Integrador'!$M$5:$M$116</c:f>
              <c:strCache>
                <c:ptCount val="0"/>
              </c:strCache>
            </c:strRef>
          </c:cat>
          <c:val>
            <c:numRef>
              <c:f>'Curva Oficial do Integrador'!$P$5:$P$116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.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Consumo acumulado (kg/animal)</a:t>
            </a:r>
          </a:p>
        </c:rich>
      </c:tx>
    </c:title>
    <c:plotArea>
      <c:lineChart>
        <c:grouping val="standard"/>
        <c:ser>
          <c:idx val="0"/>
          <c:order val="0"/>
          <c:tx>
            <c:v>Consumo acumulado</c:v>
          </c:tx>
          <c:spPr>
            <a:solidFill xmlns:a="http://schemas.openxmlformats.org/drawingml/2006/main">
              <a:srgbClr val="052F4F"/>
            </a:solidFill>
          </c:spPr>
          <c:marker>
            <c:symbol val="none"/>
          </c:marker>
          <c:cat>
            <c:strRef>
              <c:f>'Curva Oficial do Integrador'!$M$5:$M$116</c:f>
              <c:strCache>
                <c:ptCount val="0"/>
              </c:strCache>
            </c:strRef>
          </c:cat>
          <c:val>
            <c:numRef>
              <c:f>'Curva Oficial do Integrador'!$Q$5:$Q$116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28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Total por semana (kg/animal)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 semanal</c:v>
          </c:tx>
          <c:spPr>
            <a:solidFill xmlns:a="http://schemas.openxmlformats.org/drawingml/2006/main">
              <a:srgbClr val="009B3A"/>
            </a:solidFill>
          </c:spPr>
          <c:cat>
            <c:strRef>
              <c:f>'Curva Oficial do Integrador'!$T$5:$T$20</c:f>
              <c:strCache>
                <c:ptCount val="0"/>
              </c:strCache>
            </c:strRef>
          </c:cat>
          <c:val>
            <c:numRef>
              <c:f>'Curva Oficial do Integrador'!$U$5:$U$20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2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Total por fase (kg/animal)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 da fase</c:v>
          </c:tx>
          <c:spPr>
            <a:solidFill xmlns:a="http://schemas.openxmlformats.org/drawingml/2006/main">
              <a:srgbClr val="052F4F"/>
            </a:solidFill>
          </c:spPr>
          <c:cat>
            <c:strRef>
              <c:f>'Resumo das Fases'!$A$5:$A$10</c:f>
              <c:strCache>
                <c:ptCount val="0"/>
              </c:strCache>
            </c:strRef>
          </c:cat>
          <c:val>
            <c:numRef>
              <c:f>'Resumo das Fases'!$H$5:$H$10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9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200025</xdr:colOff>
      <xdr:row>0</xdr:row>
      <xdr:rowOff>38100</xdr:rowOff>
    </xdr:from>
    <xdr:ext cx="819150" cy="819150"/>
    <xdr:pic>
      <xdr:nvPicPr>
        <xdr:cNvPr id="1" name="302e535e-22fe-4efa-b8fc-6db92eb6f8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729c5595c84e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419100</xdr:colOff>
      <xdr:row>0</xdr:row>
      <xdr:rowOff>38100</xdr:rowOff>
    </xdr:from>
    <xdr:ext cx="819150" cy="819150"/>
    <xdr:pic>
      <xdr:nvPicPr>
        <xdr:cNvPr id="1" name="34988048-4885-43ee-be38-b590a0eac1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2d2a9658f14e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2169daef314e95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15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ec905afa404a6f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545dc3b4aa4740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15</xdr:col>
      <xdr:colOff>0</xdr:colOff>
      <xdr:row>47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66495e4e7246d3"/>
        </a:graphicData>
      </a:graphic>
    </xdr:graphicFrame>
    <xdr:clientData/>
  </xdr:twoCellAnchor>
  <xdr:oneCellAnchor>
    <xdr:from>
      <xdr:col>0</xdr:col>
      <xdr:colOff>533400</xdr:colOff>
      <xdr:row>0</xdr:row>
      <xdr:rowOff>38100</xdr:rowOff>
    </xdr:from>
    <xdr:ext cx="952500" cy="952500"/>
    <xdr:pic>
      <xdr:nvPicPr>
        <xdr:cNvPr id="5" name="32afde6a-f5c4-4791-aa16-6f0a98242e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de104e40b44a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CurvaOficialImportacao" displayName="CurvaOficialImportacao" ref="M4:R116" headerRowCount="1" totalsRowCount="0" totalsRowShown="0">
  <x:autoFilter ref="M4:R116"/>
  <x:tableColumns count="6">
    <x:tableColumn id="1" name="Dia"/>
    <x:tableColumn id="2" name="Semana"/>
    <x:tableColumn id="3" name="Fase"/>
    <x:tableColumn id="4" name="Consumo Diário (kg/animal)"/>
    <x:tableColumn id="5" name="Consumo Acumulado (kg/animal)"/>
    <x:tableColumn id="6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oFasesOficial" displayName="ResumoFasesOficial" ref="A4:H11" headerRowCount="1" totalsRowCount="0" totalsRowShown="0">
  <x:autoFilter ref="A4:H11"/>
  <x:tableColumns count="8">
    <x:tableColumn id="1" name="Fase"/>
    <x:tableColumn id="2" name="Dia inicial"/>
    <x:tableColumn id="3" name="Dia final"/>
    <x:tableColumn id="4" name="Dias"/>
    <x:tableColumn id="5" name="Consumo inicial"/>
    <x:tableColumn id="6" name="Consumo final"/>
    <x:tableColumn id="7" name="Acumulado final"/>
    <x:tableColumn id="8" name="Total da fa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b95ca6aac345b6" /><Relationship Type="http://schemas.openxmlformats.org/officeDocument/2006/relationships/table" Target="/xl/tables/table1.xml" Id="R3229c27dc1424d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2529dcc06fe401d" /><Relationship Type="http://schemas.openxmlformats.org/officeDocument/2006/relationships/table" Target="/xl/tables/table2.xml" Id="Rd961025d9f2049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b11b1d118d044c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15" hidden="0" customWidth="1"/>
    <x:col min="4" max="4" width="15" hidden="0" customWidth="1"/>
    <x:col min="5" max="5" width="11" hidden="0" customWidth="1"/>
    <x:col min="6" max="6" width="4" hidden="0" customWidth="1"/>
    <x:col min="7" max="7" width="12" hidden="0" customWidth="1"/>
    <x:col min="8" max="8" width="9" hidden="0" customWidth="1"/>
    <x:col min="9" max="9" width="15" hidden="0" customWidth="1"/>
    <x:col min="10" max="10" width="15" hidden="0" customWidth="1"/>
    <x:col min="11" max="11" width="11" hidden="0" customWidth="1"/>
    <x:col min="12" max="12" width="4" hidden="0" customWidth="1"/>
    <x:col min="13" max="13" width="9" hidden="0" customWidth="1"/>
    <x:col min="14" max="14" width="10" hidden="0" customWidth="1"/>
    <x:col min="15" max="15" width="20" hidden="0" customWidth="1"/>
    <x:col min="16" max="16" width="25" hidden="0" customWidth="1"/>
    <x:col min="17" max="17" width="27" hidden="0" customWidth="1"/>
    <x:col min="18" max="18" width="58" hidden="0" customWidth="1"/>
    <x:col min="19" max="19" width="3" hidden="0" customWidth="1"/>
    <x:col min="20" max="20" width="10" hidden="0" customWidth="1"/>
    <x:col min="21" max="21" width="16" hidden="0" customWidth="1"/>
    <x:col min="22" max="22" width="16" hidden="0" customWidth="1"/>
  </x:cols>
  <x:sheetData>
    <x:row r="1" ht="34" customHeight="1">
      <x:c r="A1" s="3"/>
      <x:c r="B1" s="5"/>
      <x:c r="C1" s="23" t="str">
        <x:v>CURVA OFICIAL DO INTEGRADOR</x:v>
      </x:c>
      <x:c r="D1" s="23" t="str">
        <x:v>CURVA OFICIAL DO INTEGRADOR</x:v>
      </x:c>
      <x:c r="E1" s="23" t="str">
        <x:v>CURVA OFICIAL DO INTEGRADOR</x:v>
      </x:c>
      <x:c r="F1" s="23" t="str">
        <x:v>CURVA OFICIAL DO INTEGRADOR</x:v>
      </x:c>
      <x:c r="G1" s="23" t="str">
        <x:v>CURVA OFICIAL DO INTEGRADOR</x:v>
      </x:c>
      <x:c r="H1" s="23" t="str">
        <x:v>CURVA OFICIAL DO INTEGRADOR</x:v>
      </x:c>
      <x:c r="I1" s="23" t="str">
        <x:v>CURVA OFICIAL DO INTEGRADOR</x:v>
      </x:c>
      <x:c r="J1" s="23" t="str">
        <x:v>CURVA OFICIAL DO INTEGRADOR</x:v>
      </x:c>
      <x:c r="K1" s="24" t="str">
        <x:v>CURVA OFICIAL DO INTEGRADOR</x:v>
      </x:c>
      <x:c r="L1" s="1"/>
      <x:c r="M1" s="85" t="str">
        <x:v>BASE ESTRUTURADA · MÓDULO CURVA OFICIAL</x:v>
      </x:c>
      <x:c r="N1" s="85" t="str">
        <x:v>BASE ESTRUTURADA · MÓDULO CURVA OFICIAL</x:v>
      </x:c>
      <x:c r="O1" s="85" t="str">
        <x:v>BASE ESTRUTURADA · MÓDULO CURVA OFICIAL</x:v>
      </x:c>
      <x:c r="P1" s="85" t="str">
        <x:v>BASE ESTRUTURADA · MÓDULO CURVA OFICIAL</x:v>
      </x:c>
      <x:c r="Q1" s="85" t="str">
        <x:v>BASE ESTRUTURADA · MÓDULO CURVA OFICIAL</x:v>
      </x:c>
      <x:c r="R1" s="85" t="str">
        <x:v>BASE ESTRUTURADA · MÓDULO CURVA OFICIAL</x:v>
      </x:c>
      <x:c r="S1" s="1"/>
      <x:c r="T1" s="39" t="str">
        <x:v>APOIO DOS GRÁFICOS</x:v>
      </x:c>
      <x:c r="U1" s="39" t="str">
        <x:v>APOIO DOS GRÁFICOS</x:v>
      </x:c>
      <x:c r="V1" s="39" t="str">
        <x:v>APOIO DOS GRÁFICOS</x:v>
      </x:c>
    </x:row>
    <x:row r="2" ht="34" customHeight="1">
      <x:c r="A2" s="6"/>
      <x:c r="B2" s="7"/>
      <x:c r="C2" s="25" t="str">
        <x:v>CURVA OFICIAL DO INTEGRADOR</x:v>
      </x:c>
      <x:c r="D2" s="25" t="str">
        <x:v>CURVA OFICIAL DO INTEGRADOR</x:v>
      </x:c>
      <x:c r="E2" s="25" t="str">
        <x:v>CURVA OFICIAL DO INTEGRADOR</x:v>
      </x:c>
      <x:c r="F2" s="25" t="str">
        <x:v>CURVA OFICIAL DO INTEGRADOR</x:v>
      </x:c>
      <x:c r="G2" s="25" t="str">
        <x:v>CURVA OFICIAL DO INTEGRADOR</x:v>
      </x:c>
      <x:c r="H2" s="25" t="str">
        <x:v>CURVA OFICIAL DO INTEGRADOR</x:v>
      </x:c>
      <x:c r="I2" s="25" t="str">
        <x:v>CURVA OFICIAL DO INTEGRADOR</x:v>
      </x:c>
      <x:c r="J2" s="25" t="str">
        <x:v>CURVA OFICIAL DO INTEGRADOR</x:v>
      </x:c>
      <x:c r="K2" s="26" t="str">
        <x:v>CURVA OFICIAL DO INTEGRADOR</x:v>
      </x:c>
      <x:c r="L2" s="1"/>
      <x:c r="M2" s="85" t="str">
        <x:v>BASE ESTRUTURADA · MÓDULO CURVA OFICIAL</x:v>
      </x:c>
      <x:c r="N2" s="85" t="str">
        <x:v>BASE ESTRUTURADA · MÓDULO CURVA OFICIAL</x:v>
      </x:c>
      <x:c r="O2" s="85" t="str">
        <x:v>BASE ESTRUTURADA · MÓDULO CURVA OFICIAL</x:v>
      </x:c>
      <x:c r="P2" s="85" t="str">
        <x:v>BASE ESTRUTURADA · MÓDULO CURVA OFICIAL</x:v>
      </x:c>
      <x:c r="Q2" s="85" t="str">
        <x:v>BASE ESTRUTURADA · MÓDULO CURVA OFICIAL</x:v>
      </x:c>
      <x:c r="R2" s="85" t="str">
        <x:v>BASE ESTRUTURADA · MÓDULO CURVA OFICIAL</x:v>
      </x:c>
      <x:c r="S2" s="1"/>
      <x:c r="T2" s="39" t="str">
        <x:v>APOIO DOS GRÁFICOS</x:v>
      </x:c>
      <x:c r="U2" s="39" t="str">
        <x:v>APOIO DOS GRÁFICOS</x:v>
      </x:c>
      <x:c r="V2" s="39" t="str">
        <x:v>APOIO DOS GRÁFICOS</x:v>
      </x:c>
    </x:row>
    <x:row r="3" ht="25" customHeight="1">
      <x:c r="A3" s="8"/>
      <x:c r="B3" s="10"/>
      <x:c r="C3" s="33" t="str">
        <x:v>Planilha4 · 112 dias · 16 semanas · Unidade: kg/animal</x:v>
      </x:c>
      <x:c r="D3" s="33" t="str">
        <x:v>Planilha4 · 112 dias · 16 semanas · Unidade: kg/animal</x:v>
      </x:c>
      <x:c r="E3" s="33" t="str">
        <x:v>Planilha4 · 112 dias · 16 semanas · Unidade: kg/animal</x:v>
      </x:c>
      <x:c r="F3" s="33" t="str">
        <x:v>Planilha4 · 112 dias · 16 semanas · Unidade: kg/animal</x:v>
      </x:c>
      <x:c r="G3" s="33" t="str">
        <x:v>Planilha4 · 112 dias · 16 semanas · Unidade: kg/animal</x:v>
      </x:c>
      <x:c r="H3" s="33" t="str">
        <x:v>Planilha4 · 112 dias · 16 semanas · Unidade: kg/animal</x:v>
      </x:c>
      <x:c r="I3" s="33" t="str">
        <x:v>Planilha4 · 112 dias · 16 semanas · Unidade: kg/animal</x:v>
      </x:c>
      <x:c r="J3" s="33" t="str">
        <x:v>Planilha4 · 112 dias · 16 semanas · Unidade: kg/animal</x:v>
      </x:c>
      <x:c r="K3" s="34" t="str">
        <x:v>Planilha4 · 112 dias · 16 semanas · Unidade: kg/animal</x:v>
      </x:c>
      <x:c r="L3" s="1"/>
      <x:c r="M3" s="89" t="str">
        <x:v>Fonte única da planilha — preparada para futura integração ao GranjaFlow</x:v>
      </x:c>
      <x:c r="N3" s="89" t="str">
        <x:v>Fonte única da planilha — preparada para futura integração ao GranjaFlow</x:v>
      </x:c>
      <x:c r="O3" s="89" t="str">
        <x:v>Fonte única da planilha — preparada para futura integração ao GranjaFlow</x:v>
      </x:c>
      <x:c r="P3" s="89" t="str">
        <x:v>Fonte única da planilha — preparada para futura integração ao GranjaFlow</x:v>
      </x:c>
      <x:c r="Q3" s="89" t="str">
        <x:v>Fonte única da planilha — preparada para futura integração ao GranjaFlow</x:v>
      </x:c>
      <x:c r="R3" s="89" t="str">
        <x:v>Fonte única da planilha — preparada para futura integração ao GranjaFlow</x:v>
      </x:c>
      <x:c r="S3" s="1"/>
      <x:c r="T3" s="1"/>
      <x:c r="U3" s="1"/>
      <x:c r="V3" s="1"/>
    </x:row>
    <x:row r="4" ht="34" customHeight="1">
      <x:c r="A4" s="6"/>
      <x:c r="B4" s="2"/>
      <x:c r="C4" s="2"/>
      <x:c r="D4" s="2"/>
      <x:c r="E4" s="2"/>
      <x:c r="F4" s="2"/>
      <x:c r="G4" s="2"/>
      <x:c r="H4" s="2"/>
      <x:c r="I4" s="2"/>
      <x:c r="J4" s="2"/>
      <x:c r="K4" s="7"/>
      <x:c r="L4" s="1"/>
      <x:c r="M4" s="91" t="str">
        <x:v>Dia</x:v>
      </x:c>
      <x:c r="N4" s="91" t="str">
        <x:v>Semana</x:v>
      </x:c>
      <x:c r="O4" s="91" t="str">
        <x:v>Fase</x:v>
      </x:c>
      <x:c r="P4" s="91" t="str">
        <x:v>Consumo Diário (kg/animal)</x:v>
      </x:c>
      <x:c r="Q4" s="91" t="str">
        <x:v>Consumo Acumulado (kg/animal)</x:v>
      </x:c>
      <x:c r="R4" s="91" t="str">
        <x:v>Observações</x:v>
      </x:c>
      <x:c r="S4" s="1"/>
      <x:c r="T4" s="81" t="str">
        <x:v>Semana</x:v>
      </x:c>
      <x:c r="U4" s="81" t="str">
        <x:v>Total semanal</x:v>
      </x:c>
      <x:c r="V4" s="81" t="str">
        <x:v>Média diária</x:v>
      </x:c>
    </x:row>
    <x:row r="5" ht="22" customHeight="1">
      <x:c r="A5" s="40" t="str">
        <x:v>SEMANA</x:v>
      </x:c>
      <x:c r="B5" s="41" t="str">
        <x:v>DIA</x:v>
      </x:c>
      <x:c r="C5" s="41" t="str">
        <x:v>CONSUMO</x:v>
      </x:c>
      <x:c r="D5" s="41"/>
      <x:c r="E5" s="42"/>
      <x:c r="F5" s="42"/>
      <x:c r="G5" s="41" t="str">
        <x:v>SEMANA</x:v>
      </x:c>
      <x:c r="H5" s="41" t="str">
        <x:v>DIA</x:v>
      </x:c>
      <x:c r="I5" s="41" t="str">
        <x:v>CONSUMO</x:v>
      </x:c>
      <x:c r="J5" s="41"/>
      <x:c r="K5" s="7"/>
      <x:c r="L5" s="1"/>
      <x:c r="M5" s="93" t="n">
        <x:v>1</x:v>
      </x:c>
      <x:c r="N5" s="93" t="n">
        <x:f>INT((M5-1)/7)+1</x:f>
        <x:v>1</x:v>
      </x:c>
      <x:c r="O5" s="93" t="str">
        <x:v>ALOJAM</x:v>
      </x:c>
      <x:c r="P5" s="58" t="n">
        <x:v>1.25</x:v>
      </x:c>
      <x:c r="Q5" s="58" t="n">
        <x:f>SUM($P$5:P5)</x:f>
        <x:v>1.25</x:v>
      </x:c>
      <x:c r="R5" s="94"/>
      <x:c r="S5" s="1"/>
      <x:c r="T5" s="53" t="n">
        <x:v>1</x:v>
      </x:c>
      <x:c r="U5" s="55" t="n">
        <x:f>SUMIF($N$5:$N$116,T5,$P$5:$P$116)</x:f>
        <x:v>9.2</x:v>
      </x:c>
      <x:c r="V5" s="55" t="n">
        <x:f>U5/COUNTIF($N$5:$N$116,T5)</x:f>
        <x:v>1.3142857142857143</x:v>
      </x:c>
    </x:row>
    <x:row r="6" ht="22" customHeight="1">
      <x:c r="A6" s="40"/>
      <x:c r="B6" s="41"/>
      <x:c r="C6" s="41" t="str">
        <x:v>DIÁRIO</x:v>
      </x:c>
      <x:c r="D6" s="41" t="str">
        <x:v>ACUMULADO</x:v>
      </x:c>
      <x:c r="E6" s="42"/>
      <x:c r="F6" s="42"/>
      <x:c r="G6" s="41"/>
      <x:c r="H6" s="41"/>
      <x:c r="I6" s="41" t="str">
        <x:v>DIÁRIO</x:v>
      </x:c>
      <x:c r="J6" s="41" t="str">
        <x:v>ACUMULADO</x:v>
      </x:c>
      <x:c r="K6" s="7"/>
      <x:c r="L6" s="1"/>
      <x:c r="M6" s="93" t="n">
        <x:v>2</x:v>
      </x:c>
      <x:c r="N6" s="93" t="n">
        <x:f>INT((M6-1)/7)+1</x:f>
        <x:v>1</x:v>
      </x:c>
      <x:c r="O6" s="93" t="str">
        <x:v>ALOJAM</x:v>
      </x:c>
      <x:c r="P6" s="58" t="n">
        <x:v>1.25</x:v>
      </x:c>
      <x:c r="Q6" s="58" t="n">
        <x:f>SUM($P$5:P6)</x:f>
        <x:v>2.5</x:v>
      </x:c>
      <x:c r="R6" s="94"/>
      <x:c r="S6" s="1"/>
      <x:c r="T6" s="53" t="n">
        <x:v>2</x:v>
      </x:c>
      <x:c r="U6" s="55" t="n">
        <x:f>SUMIF($N$5:$N$116,T6,$P$5:$P$116)</x:f>
        <x:v>10.15</x:v>
      </x:c>
      <x:c r="V6" s="55" t="n">
        <x:f>U6/COUNTIF($N$5:$N$116,T6)</x:f>
        <x:v>1.45</x:v>
      </x:c>
    </x:row>
    <x:row r="7" ht="20" customHeight="1">
      <x:c r="A7" s="46" t="n">
        <x:v>1</x:v>
      </x:c>
      <x:c r="B7" s="62" t="n">
        <x:f>M5</x:f>
        <x:v>1</x:v>
      </x:c>
      <x:c r="C7" s="64" t="n">
        <x:f>P5</x:f>
        <x:v>1.25</x:v>
      </x:c>
      <x:c r="D7" s="64" t="n">
        <x:f>Q5</x:f>
        <x:v>1.25</x:v>
      </x:c>
      <x:c r="E7" s="59"/>
      <x:c r="F7" s="59"/>
      <x:c r="G7" s="46" t="n">
        <x:v>9</x:v>
      </x:c>
      <x:c r="H7" s="62" t="n">
        <x:f>M61</x:f>
        <x:v>57</x:v>
      </x:c>
      <x:c r="I7" s="64" t="n">
        <x:f>P61</x:f>
        <x:v>2.4</x:v>
      </x:c>
      <x:c r="J7" s="64" t="n">
        <x:f>Q61</x:f>
        <x:v>101.6</x:v>
      </x:c>
      <x:c r="K7" s="7"/>
      <x:c r="L7" s="1"/>
      <x:c r="M7" s="93" t="n">
        <x:v>3</x:v>
      </x:c>
      <x:c r="N7" s="93" t="n">
        <x:f>INT((M7-1)/7)+1</x:f>
        <x:v>1</x:v>
      </x:c>
      <x:c r="O7" s="93" t="str">
        <x:v>ALOJAM</x:v>
      </x:c>
      <x:c r="P7" s="58" t="n">
        <x:v>1.3</x:v>
      </x:c>
      <x:c r="Q7" s="58" t="n">
        <x:f>SUM($P$5:P7)</x:f>
        <x:v>3.8</x:v>
      </x:c>
      <x:c r="R7" s="94"/>
      <x:c r="S7" s="1"/>
      <x:c r="T7" s="53" t="n">
        <x:v>3</x:v>
      </x:c>
      <x:c r="U7" s="55" t="n">
        <x:f>SUMIF($N$5:$N$116,T7,$P$5:$P$116)</x:f>
        <x:v>10.95</x:v>
      </x:c>
      <x:c r="V7" s="55" t="n">
        <x:f>U7/COUNTIF($N$5:$N$116,T7)</x:f>
        <x:v>1.5642857142857143</x:v>
      </x:c>
    </x:row>
    <x:row r="8" ht="20" customHeight="1">
      <x:c r="A8" s="46"/>
      <x:c r="B8" s="62" t="n">
        <x:f>M6</x:f>
        <x:v>2</x:v>
      </x:c>
      <x:c r="C8" s="64" t="n">
        <x:f>P6</x:f>
        <x:v>1.25</x:v>
      </x:c>
      <x:c r="D8" s="64" t="n">
        <x:f>Q6</x:f>
        <x:v>2.5</x:v>
      </x:c>
      <x:c r="E8" s="59"/>
      <x:c r="F8" s="59"/>
      <x:c r="G8" s="46"/>
      <x:c r="H8" s="62" t="n">
        <x:f>M62</x:f>
        <x:v>58</x:v>
      </x:c>
      <x:c r="I8" s="64" t="n">
        <x:f>P62</x:f>
        <x:v>2.4</x:v>
      </x:c>
      <x:c r="J8" s="64" t="n">
        <x:f>Q62</x:f>
        <x:v>104</x:v>
      </x:c>
      <x:c r="K8" s="7"/>
      <x:c r="L8" s="1"/>
      <x:c r="M8" s="93" t="n">
        <x:v>4</x:v>
      </x:c>
      <x:c r="N8" s="93" t="n">
        <x:f>INT((M8-1)/7)+1</x:f>
        <x:v>1</x:v>
      </x:c>
      <x:c r="O8" s="93" t="str">
        <x:v>ALOJAM</x:v>
      </x:c>
      <x:c r="P8" s="58" t="n">
        <x:v>1.3</x:v>
      </x:c>
      <x:c r="Q8" s="58" t="n">
        <x:f>SUM($P$5:P8)</x:f>
        <x:v>5.1</x:v>
      </x:c>
      <x:c r="R8" s="94"/>
      <x:c r="S8" s="1"/>
      <x:c r="T8" s="53" t="n">
        <x:v>4</x:v>
      </x:c>
      <x:c r="U8" s="55" t="n">
        <x:f>SUMIF($N$5:$N$116,T8,$P$5:$P$116)</x:f>
        <x:v>11.799999999999999</x:v>
      </x:c>
      <x:c r="V8" s="55" t="n">
        <x:f>U8/COUNTIF($N$5:$N$116,T8)</x:f>
        <x:v>1.6857142857142855</x:v>
      </x:c>
    </x:row>
    <x:row r="9" ht="20" customHeight="1">
      <x:c r="A9" s="46"/>
      <x:c r="B9" s="62" t="n">
        <x:f>M7</x:f>
        <x:v>3</x:v>
      </x:c>
      <x:c r="C9" s="64" t="n">
        <x:f>P7</x:f>
        <x:v>1.3</x:v>
      </x:c>
      <x:c r="D9" s="64" t="n">
        <x:f>Q7</x:f>
        <x:v>3.8</x:v>
      </x:c>
      <x:c r="E9" s="59"/>
      <x:c r="F9" s="59"/>
      <x:c r="G9" s="46"/>
      <x:c r="H9" s="62" t="n">
        <x:f>M63</x:f>
        <x:v>59</x:v>
      </x:c>
      <x:c r="I9" s="64" t="n">
        <x:f>P63</x:f>
        <x:v>2.45</x:v>
      </x:c>
      <x:c r="J9" s="64" t="n">
        <x:f>Q63</x:f>
        <x:v>106.45</x:v>
      </x:c>
      <x:c r="K9" s="7"/>
      <x:c r="L9" s="1"/>
      <x:c r="M9" s="93" t="n">
        <x:v>5</x:v>
      </x:c>
      <x:c r="N9" s="93" t="n">
        <x:f>INT((M9-1)/7)+1</x:f>
        <x:v>1</x:v>
      </x:c>
      <x:c r="O9" s="93" t="str">
        <x:v>ALOJAM</x:v>
      </x:c>
      <x:c r="P9" s="58" t="n">
        <x:v>1.35</x:v>
      </x:c>
      <x:c r="Q9" s="58" t="n">
        <x:f>SUM($P$5:P9)</x:f>
        <x:v>6.449999999999999</x:v>
      </x:c>
      <x:c r="R9" s="94"/>
      <x:c r="S9" s="1"/>
      <x:c r="T9" s="53" t="n">
        <x:v>5</x:v>
      </x:c>
      <x:c r="U9" s="55" t="n">
        <x:f>SUMIF($N$5:$N$116,T9,$P$5:$P$116)</x:f>
        <x:v>12.6</x:v>
      </x:c>
      <x:c r="V9" s="55" t="n">
        <x:f>U9/COUNTIF($N$5:$N$116,T9)</x:f>
        <x:v>1.8</x:v>
      </x:c>
    </x:row>
    <x:row r="10" ht="20" customHeight="1">
      <x:c r="A10" s="46"/>
      <x:c r="B10" s="62" t="n">
        <x:f>M8</x:f>
        <x:v>4</x:v>
      </x:c>
      <x:c r="C10" s="64" t="n">
        <x:f>P8</x:f>
        <x:v>1.3</x:v>
      </x:c>
      <x:c r="D10" s="64" t="n">
        <x:f>Q8</x:f>
        <x:v>5.1</x:v>
      </x:c>
      <x:c r="E10" s="59"/>
      <x:c r="F10" s="59"/>
      <x:c r="G10" s="46"/>
      <x:c r="H10" s="62" t="n">
        <x:f>M64</x:f>
        <x:v>60</x:v>
      </x:c>
      <x:c r="I10" s="64" t="n">
        <x:f>P64</x:f>
        <x:v>2.45</x:v>
      </x:c>
      <x:c r="J10" s="64" t="n">
        <x:f>Q64</x:f>
        <x:v>108.9</x:v>
      </x:c>
      <x:c r="K10" s="7"/>
      <x:c r="L10" s="1"/>
      <x:c r="M10" s="93" t="n">
        <x:v>6</x:v>
      </x:c>
      <x:c r="N10" s="93" t="n">
        <x:f>INT((M10-1)/7)+1</x:f>
        <x:v>1</x:v>
      </x:c>
      <x:c r="O10" s="93" t="str">
        <x:v>ALOJAM</x:v>
      </x:c>
      <x:c r="P10" s="58" t="n">
        <x:v>1.35</x:v>
      </x:c>
      <x:c r="Q10" s="58" t="n">
        <x:f>SUM($P$5:P10)</x:f>
        <x:v>7.799999999999999</x:v>
      </x:c>
      <x:c r="R10" s="94"/>
      <x:c r="S10" s="1"/>
      <x:c r="T10" s="53" t="n">
        <x:v>6</x:v>
      </x:c>
      <x:c r="U10" s="55" t="n">
        <x:f>SUMIF($N$5:$N$116,T10,$P$5:$P$116)</x:f>
        <x:v>13.55</x:v>
      </x:c>
      <x:c r="V10" s="55" t="n">
        <x:f>U10/COUNTIF($N$5:$N$116,T10)</x:f>
        <x:v>1.9357142857142857</x:v>
      </x:c>
    </x:row>
    <x:row r="11" ht="20" customHeight="1">
      <x:c r="A11" s="46"/>
      <x:c r="B11" s="62" t="n">
        <x:f>M9</x:f>
        <x:v>5</x:v>
      </x:c>
      <x:c r="C11" s="64" t="n">
        <x:f>P9</x:f>
        <x:v>1.35</x:v>
      </x:c>
      <x:c r="D11" s="64" t="n">
        <x:f>Q9</x:f>
        <x:v>6.449999999999999</x:v>
      </x:c>
      <x:c r="E11" s="59"/>
      <x:c r="F11" s="59"/>
      <x:c r="G11" s="46"/>
      <x:c r="H11" s="62" t="n">
        <x:f>M65</x:f>
        <x:v>61</x:v>
      </x:c>
      <x:c r="I11" s="64" t="n">
        <x:f>P65</x:f>
        <x:v>2.5</x:v>
      </x:c>
      <x:c r="J11" s="64" t="n">
        <x:f>Q65</x:f>
        <x:v>111.4</x:v>
      </x:c>
      <x:c r="K11" s="7"/>
      <x:c r="L11" s="1"/>
      <x:c r="M11" s="93" t="n">
        <x:v>7</x:v>
      </x:c>
      <x:c r="N11" s="93" t="n">
        <x:f>INT((M11-1)/7)+1</x:f>
        <x:v>1</x:v>
      </x:c>
      <x:c r="O11" s="93" t="str">
        <x:v>ALOJAM</x:v>
      </x:c>
      <x:c r="P11" s="58" t="n">
        <x:v>1.4</x:v>
      </x:c>
      <x:c r="Q11" s="58" t="n">
        <x:f>SUM($P$5:P11)</x:f>
        <x:v>9.2</x:v>
      </x:c>
      <x:c r="R11" s="94"/>
      <x:c r="S11" s="1"/>
      <x:c r="T11" s="53" t="n">
        <x:v>7</x:v>
      </x:c>
      <x:c r="U11" s="55" t="n">
        <x:f>SUMIF($N$5:$N$116,T11,$P$5:$P$116)</x:f>
        <x:v>14.950000000000003</x:v>
      </x:c>
      <x:c r="V11" s="55" t="n">
        <x:f>U11/COUNTIF($N$5:$N$116,T11)</x:f>
        <x:v>2.135714285714286</x:v>
      </x:c>
    </x:row>
    <x:row r="12" ht="20" customHeight="1">
      <x:c r="A12" s="46"/>
      <x:c r="B12" s="62" t="n">
        <x:f>M10</x:f>
        <x:v>6</x:v>
      </x:c>
      <x:c r="C12" s="64" t="n">
        <x:f>P10</x:f>
        <x:v>1.35</x:v>
      </x:c>
      <x:c r="D12" s="64" t="n">
        <x:f>Q10</x:f>
        <x:v>7.799999999999999</x:v>
      </x:c>
      <x:c r="E12" s="59"/>
      <x:c r="F12" s="59"/>
      <x:c r="G12" s="46"/>
      <x:c r="H12" s="62" t="n">
        <x:f>M66</x:f>
        <x:v>62</x:v>
      </x:c>
      <x:c r="I12" s="64" t="n">
        <x:f>P66</x:f>
        <x:v>2.5</x:v>
      </x:c>
      <x:c r="J12" s="64" t="n">
        <x:f>Q66</x:f>
        <x:v>113.9</x:v>
      </x:c>
      <x:c r="K12" s="7"/>
      <x:c r="L12" s="1"/>
      <x:c r="M12" s="93" t="n">
        <x:v>8</x:v>
      </x:c>
      <x:c r="N12" s="93" t="n">
        <x:f>INT((M12-1)/7)+1</x:f>
        <x:v>2</x:v>
      </x:c>
      <x:c r="O12" s="93" t="str">
        <x:v>ALOJAM</x:v>
      </x:c>
      <x:c r="P12" s="58" t="n">
        <x:v>1.4</x:v>
      </x:c>
      <x:c r="Q12" s="58" t="n">
        <x:f>SUM($P$5:P12)</x:f>
        <x:v>10.6</x:v>
      </x:c>
      <x:c r="R12" s="94"/>
      <x:c r="S12" s="1"/>
      <x:c r="T12" s="53" t="n">
        <x:v>8</x:v>
      </x:c>
      <x:c r="U12" s="55" t="n">
        <x:f>SUMIF($N$5:$N$116,T12,$P$5:$P$116)</x:f>
        <x:v>16</x:v>
      </x:c>
      <x:c r="V12" s="55" t="n">
        <x:f>U12/COUNTIF($N$5:$N$116,T12)</x:f>
        <x:v>2.2857142857142856</x:v>
      </x:c>
    </x:row>
    <x:row r="13" ht="20" customHeight="1">
      <x:c r="A13" s="46"/>
      <x:c r="B13" s="62" t="n">
        <x:f>M11</x:f>
        <x:v>7</x:v>
      </x:c>
      <x:c r="C13" s="64" t="n">
        <x:f>P11</x:f>
        <x:v>1.4</x:v>
      </x:c>
      <x:c r="D13" s="64" t="n">
        <x:f>Q11</x:f>
        <x:v>9.2</x:v>
      </x:c>
      <x:c r="E13" s="59"/>
      <x:c r="F13" s="59"/>
      <x:c r="G13" s="46"/>
      <x:c r="H13" s="62" t="n">
        <x:f>M67</x:f>
        <x:v>63</x:v>
      </x:c>
      <x:c r="I13" s="64" t="n">
        <x:f>P67</x:f>
        <x:v>2.55</x:v>
      </x:c>
      <x:c r="J13" s="64" t="n">
        <x:f>Q67</x:f>
        <x:v>116.45</x:v>
      </x:c>
      <x:c r="K13" s="7"/>
      <x:c r="L13" s="1"/>
      <x:c r="M13" s="93" t="n">
        <x:v>9</x:v>
      </x:c>
      <x:c r="N13" s="93" t="n">
        <x:f>INT((M13-1)/7)+1</x:f>
        <x:v>2</x:v>
      </x:c>
      <x:c r="O13" s="93" t="str">
        <x:v>ALOJAM</x:v>
      </x:c>
      <x:c r="P13" s="58" t="n">
        <x:v>1.4</x:v>
      </x:c>
      <x:c r="Q13" s="58" t="n">
        <x:f>SUM($P$5:P13)</x:f>
        <x:v>12</x:v>
      </x:c>
      <x:c r="R13" s="94"/>
      <x:c r="S13" s="1"/>
      <x:c r="T13" s="53" t="n">
        <x:v>9</x:v>
      </x:c>
      <x:c r="U13" s="55" t="n">
        <x:f>SUMIF($N$5:$N$116,T13,$P$5:$P$116)</x:f>
        <x:v>17.25</x:v>
      </x:c>
      <x:c r="V13" s="55" t="n">
        <x:f>U13/COUNTIF($N$5:$N$116,T13)</x:f>
        <x:v>2.4642857142857144</x:v>
      </x:c>
    </x:row>
    <x:row r="14" ht="20" customHeight="1">
      <x:c r="A14" s="52" t="n">
        <x:v>2</x:v>
      </x:c>
      <x:c r="B14" s="63" t="n">
        <x:f>M12</x:f>
        <x:v>8</x:v>
      </x:c>
      <x:c r="C14" s="65" t="n">
        <x:f>P12</x:f>
        <x:v>1.4</x:v>
      </x:c>
      <x:c r="D14" s="65" t="n">
        <x:f>Q12</x:f>
        <x:v>10.6</x:v>
      </x:c>
      <x:c r="E14" s="59"/>
      <x:c r="F14" s="59"/>
      <x:c r="G14" s="52" t="n">
        <x:v>10</x:v>
      </x:c>
      <x:c r="H14" s="63" t="n">
        <x:f>M68</x:f>
        <x:v>64</x:v>
      </x:c>
      <x:c r="I14" s="65" t="n">
        <x:f>P68</x:f>
        <x:v>2.55</x:v>
      </x:c>
      <x:c r="J14" s="65" t="n">
        <x:f>Q68</x:f>
        <x:v>119</x:v>
      </x:c>
      <x:c r="K14" s="7"/>
      <x:c r="L14" s="1"/>
      <x:c r="M14" s="93" t="n">
        <x:v>10</x:v>
      </x:c>
      <x:c r="N14" s="93" t="n">
        <x:f>INT((M14-1)/7)+1</x:f>
        <x:v>2</x:v>
      </x:c>
      <x:c r="O14" s="93" t="str">
        <x:v>ALOJAM</x:v>
      </x:c>
      <x:c r="P14" s="58" t="n">
        <x:v>1.45</x:v>
      </x:c>
      <x:c r="Q14" s="58" t="n">
        <x:f>SUM($P$5:P14)</x:f>
        <x:v>13.45</x:v>
      </x:c>
      <x:c r="R14" s="94"/>
      <x:c r="S14" s="1"/>
      <x:c r="T14" s="53" t="n">
        <x:v>10</x:v>
      </x:c>
      <x:c r="U14" s="55" t="n">
        <x:f>SUMIF($N$5:$N$116,T14,$P$5:$P$116)</x:f>
        <x:v>18.45</x:v>
      </x:c>
      <x:c r="V14" s="55" t="n">
        <x:f>U14/COUNTIF($N$5:$N$116,T14)</x:f>
        <x:v>2.6357142857142857</x:v>
      </x:c>
    </x:row>
    <x:row r="15" ht="20" customHeight="1">
      <x:c r="A15" s="52"/>
      <x:c r="B15" s="63" t="n">
        <x:f>M13</x:f>
        <x:v>9</x:v>
      </x:c>
      <x:c r="C15" s="65" t="n">
        <x:f>P13</x:f>
        <x:v>1.4</x:v>
      </x:c>
      <x:c r="D15" s="65" t="n">
        <x:f>Q13</x:f>
        <x:v>12</x:v>
      </x:c>
      <x:c r="E15" s="59"/>
      <x:c r="F15" s="59"/>
      <x:c r="G15" s="52"/>
      <x:c r="H15" s="63" t="n">
        <x:f>M69</x:f>
        <x:v>65</x:v>
      </x:c>
      <x:c r="I15" s="65" t="n">
        <x:f>P69</x:f>
        <x:v>2.6</x:v>
      </x:c>
      <x:c r="J15" s="65" t="n">
        <x:f>Q69</x:f>
        <x:v>121.6</x:v>
      </x:c>
      <x:c r="K15" s="7"/>
      <x:c r="L15" s="1"/>
      <x:c r="M15" s="93" t="n">
        <x:v>11</x:v>
      </x:c>
      <x:c r="N15" s="93" t="n">
        <x:f>INT((M15-1)/7)+1</x:f>
        <x:v>2</x:v>
      </x:c>
      <x:c r="O15" s="93" t="str">
        <x:v>ALOJAM</x:v>
      </x:c>
      <x:c r="P15" s="58" t="n">
        <x:v>1.45</x:v>
      </x:c>
      <x:c r="Q15" s="58" t="n">
        <x:f>SUM($P$5:P15)</x:f>
        <x:v>14.899999999999999</x:v>
      </x:c>
      <x:c r="R15" s="94"/>
      <x:c r="S15" s="1"/>
      <x:c r="T15" s="53" t="n">
        <x:v>11</x:v>
      </x:c>
      <x:c r="U15" s="55" t="n">
        <x:f>SUMIF($N$5:$N$116,T15,$P$5:$P$116)</x:f>
        <x:v>19.400000000000002</x:v>
      </x:c>
      <x:c r="V15" s="55" t="n">
        <x:f>U15/COUNTIF($N$5:$N$116,T15)</x:f>
        <x:v>2.771428571428572</x:v>
      </x:c>
    </x:row>
    <x:row r="16" ht="20" customHeight="1">
      <x:c r="A16" s="52"/>
      <x:c r="B16" s="63" t="n">
        <x:f>M14</x:f>
        <x:v>10</x:v>
      </x:c>
      <x:c r="C16" s="65" t="n">
        <x:f>P14</x:f>
        <x:v>1.45</x:v>
      </x:c>
      <x:c r="D16" s="65" t="n">
        <x:f>Q14</x:f>
        <x:v>13.45</x:v>
      </x:c>
      <x:c r="E16" s="59"/>
      <x:c r="F16" s="59"/>
      <x:c r="G16" s="52"/>
      <x:c r="H16" s="63" t="n">
        <x:f>M70</x:f>
        <x:v>66</x:v>
      </x:c>
      <x:c r="I16" s="65" t="n">
        <x:f>P70</x:f>
        <x:v>2.6</x:v>
      </x:c>
      <x:c r="J16" s="65" t="n">
        <x:f>Q70</x:f>
        <x:v>124.19999999999999</x:v>
      </x:c>
      <x:c r="K16" s="70" t="n">
        <x:f>'Resumo das Fases'!H8</x:f>
        <x:v>47.5</x:v>
      </x:c>
      <x:c r="L16" s="1"/>
      <x:c r="M16" s="93" t="n">
        <x:v>12</x:v>
      </x:c>
      <x:c r="N16" s="93" t="n">
        <x:f>INT((M16-1)/7)+1</x:f>
        <x:v>2</x:v>
      </x:c>
      <x:c r="O16" s="93" t="str">
        <x:v>ALOJAM</x:v>
      </x:c>
      <x:c r="P16" s="58" t="n">
        <x:v>1.45</x:v>
      </x:c>
      <x:c r="Q16" s="58" t="n">
        <x:f>SUM($P$5:P16)</x:f>
        <x:v>16.349999999999998</x:v>
      </x:c>
      <x:c r="R16" s="94"/>
      <x:c r="S16" s="1"/>
      <x:c r="T16" s="53" t="n">
        <x:v>12</x:v>
      </x:c>
      <x:c r="U16" s="55" t="n">
        <x:f>SUMIF($N$5:$N$116,T16,$P$5:$P$116)</x:f>
        <x:v>19.95</x:v>
      </x:c>
      <x:c r="V16" s="55" t="n">
        <x:f>U16/COUNTIF($N$5:$N$116,T16)</x:f>
        <x:v>2.85</x:v>
      </x:c>
    </x:row>
    <x:row r="17" ht="20" customHeight="1">
      <x:c r="A17" s="52"/>
      <x:c r="B17" s="63" t="n">
        <x:f>M15</x:f>
        <x:v>11</x:v>
      </x:c>
      <x:c r="C17" s="65" t="n">
        <x:f>P15</x:f>
        <x:v>1.45</x:v>
      </x:c>
      <x:c r="D17" s="65" t="n">
        <x:f>Q15</x:f>
        <x:v>14.899999999999999</x:v>
      </x:c>
      <x:c r="E17" s="59"/>
      <x:c r="F17" s="59"/>
      <x:c r="G17" s="52"/>
      <x:c r="H17" s="63" t="n">
        <x:f>M71</x:f>
        <x:v>67</x:v>
      </x:c>
      <x:c r="I17" s="65" t="n">
        <x:f>P71</x:f>
        <x:v>2.65</x:v>
      </x:c>
      <x:c r="J17" s="65" t="n">
        <x:f>Q71</x:f>
        <x:v>126.85</x:v>
      </x:c>
      <x:c r="K17" s="7"/>
      <x:c r="L17" s="1"/>
      <x:c r="M17" s="93" t="n">
        <x:v>13</x:v>
      </x:c>
      <x:c r="N17" s="93" t="n">
        <x:f>INT((M17-1)/7)+1</x:f>
        <x:v>2</x:v>
      </x:c>
      <x:c r="O17" s="93" t="str">
        <x:v>CRESC</x:v>
      </x:c>
      <x:c r="P17" s="58" t="n">
        <x:v>1.5</x:v>
      </x:c>
      <x:c r="Q17" s="58" t="n">
        <x:f>SUM($P$5:P17)</x:f>
        <x:v>17.849999999999998</x:v>
      </x:c>
      <x:c r="R17" s="94"/>
      <x:c r="S17" s="1"/>
      <x:c r="T17" s="53" t="n">
        <x:v>13</x:v>
      </x:c>
      <x:c r="U17" s="55" t="n">
        <x:f>SUMIF($N$5:$N$116,T17,$P$5:$P$116)</x:f>
        <x:v>20.45</x:v>
      </x:c>
      <x:c r="V17" s="55" t="n">
        <x:f>U17/COUNTIF($N$5:$N$116,T17)</x:f>
        <x:v>2.9214285714285713</x:v>
      </x:c>
    </x:row>
    <x:row r="18" ht="20" customHeight="1">
      <x:c r="A18" s="52"/>
      <x:c r="B18" s="63" t="n">
        <x:f>M16</x:f>
        <x:v>12</x:v>
      </x:c>
      <x:c r="C18" s="65" t="n">
        <x:f>P16</x:f>
        <x:v>1.45</x:v>
      </x:c>
      <x:c r="D18" s="65" t="n">
        <x:f>Q16</x:f>
        <x:v>16.349999999999998</x:v>
      </x:c>
      <x:c r="E18" s="70" t="n">
        <x:f>'Resumo das Fases'!H5</x:f>
        <x:v>16.349999999999998</x:v>
      </x:c>
      <x:c r="F18" s="59"/>
      <x:c r="G18" s="52"/>
      <x:c r="H18" s="63" t="n">
        <x:f>M72</x:f>
        <x:v>68</x:v>
      </x:c>
      <x:c r="I18" s="65" t="n">
        <x:f>P72</x:f>
        <x:v>2.65</x:v>
      </x:c>
      <x:c r="J18" s="65" t="n">
        <x:f>Q72</x:f>
        <x:v>129.5</x:v>
      </x:c>
      <x:c r="K18" s="7"/>
      <x:c r="L18" s="1"/>
      <x:c r="M18" s="93" t="n">
        <x:v>14</x:v>
      </x:c>
      <x:c r="N18" s="93" t="n">
        <x:f>INT((M18-1)/7)+1</x:f>
        <x:v>2</x:v>
      </x:c>
      <x:c r="O18" s="93" t="str">
        <x:v>CRESC</x:v>
      </x:c>
      <x:c r="P18" s="58" t="n">
        <x:v>1.5</x:v>
      </x:c>
      <x:c r="Q18" s="58" t="n">
        <x:f>SUM($P$5:P18)</x:f>
        <x:v>19.349999999999998</x:v>
      </x:c>
      <x:c r="R18" s="94"/>
      <x:c r="S18" s="1"/>
      <x:c r="T18" s="53" t="n">
        <x:v>14</x:v>
      </x:c>
      <x:c r="U18" s="55" t="n">
        <x:f>SUMIF($N$5:$N$116,T18,$P$5:$P$116)</x:f>
        <x:v>20.85</x:v>
      </x:c>
      <x:c r="V18" s="55" t="n">
        <x:f>U18/COUNTIF($N$5:$N$116,T18)</x:f>
        <x:v>2.9785714285714286</x:v>
      </x:c>
    </x:row>
    <x:row r="19" ht="20" customHeight="1">
      <x:c r="A19" s="52"/>
      <x:c r="B19" s="63" t="n">
        <x:f>M17</x:f>
        <x:v>13</x:v>
      </x:c>
      <x:c r="C19" s="65" t="n">
        <x:f>P17</x:f>
        <x:v>1.5</x:v>
      </x:c>
      <x:c r="D19" s="65" t="n">
        <x:f>Q17</x:f>
        <x:v>17.849999999999998</x:v>
      </x:c>
      <x:c r="E19" s="59"/>
      <x:c r="F19" s="59"/>
      <x:c r="G19" s="52"/>
      <x:c r="H19" s="63" t="n">
        <x:f>M73</x:f>
        <x:v>69</x:v>
      </x:c>
      <x:c r="I19" s="65" t="n">
        <x:f>P73</x:f>
        <x:v>2.7</x:v>
      </x:c>
      <x:c r="J19" s="65" t="n">
        <x:f>Q73</x:f>
        <x:v>132.2</x:v>
      </x:c>
      <x:c r="K19" s="7"/>
      <x:c r="L19" s="1"/>
      <x:c r="M19" s="93" t="n">
        <x:v>15</x:v>
      </x:c>
      <x:c r="N19" s="93" t="n">
        <x:f>INT((M19-1)/7)+1</x:f>
        <x:v>3</x:v>
      </x:c>
      <x:c r="O19" s="93" t="str">
        <x:v>CRESC</x:v>
      </x:c>
      <x:c r="P19" s="58" t="n">
        <x:v>1.5</x:v>
      </x:c>
      <x:c r="Q19" s="58" t="n">
        <x:f>SUM($P$5:P19)</x:f>
        <x:v>20.849999999999998</x:v>
      </x:c>
      <x:c r="R19" s="94"/>
      <x:c r="S19" s="1"/>
      <x:c r="T19" s="53" t="n">
        <x:v>15</x:v>
      </x:c>
      <x:c r="U19" s="55" t="n">
        <x:f>SUMIF($N$5:$N$116,T19,$P$5:$P$116)</x:f>
        <x:v>21.6</x:v>
      </x:c>
      <x:c r="V19" s="55" t="n">
        <x:f>U19/COUNTIF($N$5:$N$116,T19)</x:f>
        <x:v>3.085714285714286</x:v>
      </x:c>
    </x:row>
    <x:row r="20" ht="20" customHeight="1">
      <x:c r="A20" s="52"/>
      <x:c r="B20" s="63" t="n">
        <x:f>M18</x:f>
        <x:v>14</x:v>
      </x:c>
      <x:c r="C20" s="65" t="n">
        <x:f>P18</x:f>
        <x:v>1.5</x:v>
      </x:c>
      <x:c r="D20" s="65" t="n">
        <x:f>Q18</x:f>
        <x:v>19.349999999999998</x:v>
      </x:c>
      <x:c r="E20" s="59"/>
      <x:c r="F20" s="59"/>
      <x:c r="G20" s="52"/>
      <x:c r="H20" s="63" t="n">
        <x:f>M74</x:f>
        <x:v>70</x:v>
      </x:c>
      <x:c r="I20" s="65" t="n">
        <x:f>P74</x:f>
        <x:v>2.7</x:v>
      </x:c>
      <x:c r="J20" s="65" t="n">
        <x:f>Q74</x:f>
        <x:v>134.89999999999998</x:v>
      </x:c>
      <x:c r="K20" s="7"/>
      <x:c r="L20" s="1"/>
      <x:c r="M20" s="93" t="n">
        <x:v>16</x:v>
      </x:c>
      <x:c r="N20" s="93" t="n">
        <x:f>INT((M20-1)/7)+1</x:f>
        <x:v>3</x:v>
      </x:c>
      <x:c r="O20" s="93" t="str">
        <x:v>CRESC</x:v>
      </x:c>
      <x:c r="P20" s="58" t="n">
        <x:v>1.55</x:v>
      </x:c>
      <x:c r="Q20" s="58" t="n">
        <x:f>SUM($P$5:P20)</x:f>
        <x:v>22.4</x:v>
      </x:c>
      <x:c r="R20" s="94"/>
      <x:c r="S20" s="1"/>
      <x:c r="T20" s="53" t="n">
        <x:v>16</x:v>
      </x:c>
      <x:c r="U20" s="55" t="n">
        <x:f>SUMIF($N$5:$N$116,T20,$P$5:$P$116)</x:f>
        <x:v>22.049999999999997</x:v>
      </x:c>
      <x:c r="V20" s="55" t="n">
        <x:f>U20/COUNTIF($N$5:$N$116,T20)</x:f>
        <x:v>3.1499999999999995</x:v>
      </x:c>
    </x:row>
    <x:row r="21" ht="20" customHeight="1">
      <x:c r="A21" s="46" t="n">
        <x:v>3</x:v>
      </x:c>
      <x:c r="B21" s="62" t="n">
        <x:f>M19</x:f>
        <x:v>15</x:v>
      </x:c>
      <x:c r="C21" s="64" t="n">
        <x:f>P19</x:f>
        <x:v>1.5</x:v>
      </x:c>
      <x:c r="D21" s="64" t="n">
        <x:f>Q19</x:f>
        <x:v>20.849999999999998</x:v>
      </x:c>
      <x:c r="E21" s="59"/>
      <x:c r="F21" s="59"/>
      <x:c r="G21" s="46" t="n">
        <x:v>11</x:v>
      </x:c>
      <x:c r="H21" s="62" t="n">
        <x:f>M75</x:f>
        <x:v>71</x:v>
      </x:c>
      <x:c r="I21" s="64" t="n">
        <x:f>P75</x:f>
        <x:v>2.75</x:v>
      </x:c>
      <x:c r="J21" s="64" t="n">
        <x:f>Q75</x:f>
        <x:v>137.64999999999998</x:v>
      </x:c>
      <x:c r="K21" s="7"/>
      <x:c r="L21" s="1"/>
      <x:c r="M21" s="93" t="n">
        <x:v>17</x:v>
      </x:c>
      <x:c r="N21" s="93" t="n">
        <x:f>INT((M21-1)/7)+1</x:f>
        <x:v>3</x:v>
      </x:c>
      <x:c r="O21" s="93" t="str">
        <x:v>CRESC</x:v>
      </x:c>
      <x:c r="P21" s="58" t="n">
        <x:v>1.55</x:v>
      </x:c>
      <x:c r="Q21" s="58" t="n">
        <x:f>SUM($P$5:P21)</x:f>
        <x:v>23.95</x:v>
      </x:c>
      <x:c r="R21" s="94"/>
      <x:c r="S21" s="1"/>
      <x:c r="T21" s="1"/>
      <x:c r="U21" s="1"/>
      <x:c r="V21" s="1"/>
    </x:row>
    <x:row r="22" ht="20" customHeight="1">
      <x:c r="A22" s="46"/>
      <x:c r="B22" s="62" t="n">
        <x:f>M20</x:f>
        <x:v>16</x:v>
      </x:c>
      <x:c r="C22" s="64" t="n">
        <x:f>P20</x:f>
        <x:v>1.55</x:v>
      </x:c>
      <x:c r="D22" s="64" t="n">
        <x:f>Q20</x:f>
        <x:v>22.4</x:v>
      </x:c>
      <x:c r="E22" s="59"/>
      <x:c r="F22" s="59"/>
      <x:c r="G22" s="46"/>
      <x:c r="H22" s="62" t="n">
        <x:f>M76</x:f>
        <x:v>72</x:v>
      </x:c>
      <x:c r="I22" s="64" t="n">
        <x:f>P76</x:f>
        <x:v>2.75</x:v>
      </x:c>
      <x:c r="J22" s="64" t="n">
        <x:f>Q76</x:f>
        <x:v>140.39999999999998</x:v>
      </x:c>
      <x:c r="K22" s="7"/>
      <x:c r="L22" s="1"/>
      <x:c r="M22" s="93" t="n">
        <x:v>18</x:v>
      </x:c>
      <x:c r="N22" s="93" t="n">
        <x:f>INT((M22-1)/7)+1</x:f>
        <x:v>3</x:v>
      </x:c>
      <x:c r="O22" s="93" t="str">
        <x:v>CRESC</x:v>
      </x:c>
      <x:c r="P22" s="58" t="n">
        <x:v>1.55</x:v>
      </x:c>
      <x:c r="Q22" s="58" t="n">
        <x:f>SUM($P$5:P22)</x:f>
        <x:v>25.5</x:v>
      </x:c>
      <x:c r="R22" s="94"/>
      <x:c r="S22" s="1"/>
      <x:c r="T22" s="1"/>
      <x:c r="U22" s="1"/>
      <x:c r="V22" s="1"/>
    </x:row>
    <x:row r="23" ht="20" customHeight="1">
      <x:c r="A23" s="46"/>
      <x:c r="B23" s="62" t="n">
        <x:f>M21</x:f>
        <x:v>17</x:v>
      </x:c>
      <x:c r="C23" s="64" t="n">
        <x:f>P21</x:f>
        <x:v>1.55</x:v>
      </x:c>
      <x:c r="D23" s="64" t="n">
        <x:f>Q21</x:f>
        <x:v>23.95</x:v>
      </x:c>
      <x:c r="E23" s="59"/>
      <x:c r="F23" s="59"/>
      <x:c r="G23" s="46"/>
      <x:c r="H23" s="62" t="n">
        <x:f>M77</x:f>
        <x:v>73</x:v>
      </x:c>
      <x:c r="I23" s="64" t="n">
        <x:f>P77</x:f>
        <x:v>2.75</x:v>
      </x:c>
      <x:c r="J23" s="64" t="n">
        <x:f>Q77</x:f>
        <x:v>143.14999999999998</x:v>
      </x:c>
      <x:c r="K23" s="7"/>
      <x:c r="L23" s="1"/>
      <x:c r="M23" s="93" t="n">
        <x:v>19</x:v>
      </x:c>
      <x:c r="N23" s="93" t="n">
        <x:f>INT((M23-1)/7)+1</x:f>
        <x:v>3</x:v>
      </x:c>
      <x:c r="O23" s="93" t="str">
        <x:v>CRESC</x:v>
      </x:c>
      <x:c r="P23" s="58" t="n">
        <x:v>1.6</x:v>
      </x:c>
      <x:c r="Q23" s="58" t="n">
        <x:f>SUM($P$5:P23)</x:f>
        <x:v>27.1</x:v>
      </x:c>
      <x:c r="R23" s="94"/>
      <x:c r="S23" s="1"/>
      <x:c r="T23" s="1"/>
      <x:c r="U23" s="1"/>
      <x:c r="V23" s="1"/>
    </x:row>
    <x:row r="24" ht="20" customHeight="1">
      <x:c r="A24" s="46"/>
      <x:c r="B24" s="62" t="n">
        <x:f>M22</x:f>
        <x:v>18</x:v>
      </x:c>
      <x:c r="C24" s="64" t="n">
        <x:f>P22</x:f>
        <x:v>1.55</x:v>
      </x:c>
      <x:c r="D24" s="64" t="n">
        <x:f>Q22</x:f>
        <x:v>25.5</x:v>
      </x:c>
      <x:c r="E24" s="59"/>
      <x:c r="F24" s="59"/>
      <x:c r="G24" s="46"/>
      <x:c r="H24" s="62" t="n">
        <x:f>M78</x:f>
        <x:v>74</x:v>
      </x:c>
      <x:c r="I24" s="64" t="n">
        <x:f>P78</x:f>
        <x:v>2.75</x:v>
      </x:c>
      <x:c r="J24" s="64" t="n">
        <x:f>Q78</x:f>
        <x:v>145.89999999999998</x:v>
      </x:c>
      <x:c r="K24" s="7"/>
      <x:c r="L24" s="1"/>
      <x:c r="M24" s="93" t="n">
        <x:v>20</x:v>
      </x:c>
      <x:c r="N24" s="93" t="n">
        <x:f>INT((M24-1)/7)+1</x:f>
        <x:v>3</x:v>
      </x:c>
      <x:c r="O24" s="93" t="str">
        <x:v>CRESC</x:v>
      </x:c>
      <x:c r="P24" s="58" t="n">
        <x:v>1.6</x:v>
      </x:c>
      <x:c r="Q24" s="58" t="n">
        <x:f>SUM($P$5:P24)</x:f>
        <x:v>28.700000000000003</x:v>
      </x:c>
      <x:c r="R24" s="94"/>
      <x:c r="S24" s="1"/>
      <x:c r="T24" s="1"/>
      <x:c r="U24" s="1"/>
      <x:c r="V24" s="1"/>
    </x:row>
    <x:row r="25" ht="20" customHeight="1">
      <x:c r="A25" s="46"/>
      <x:c r="B25" s="62" t="n">
        <x:f>M23</x:f>
        <x:v>19</x:v>
      </x:c>
      <x:c r="C25" s="64" t="n">
        <x:f>P23</x:f>
        <x:v>1.6</x:v>
      </x:c>
      <x:c r="D25" s="64" t="n">
        <x:f>Q23</x:f>
        <x:v>27.1</x:v>
      </x:c>
      <x:c r="E25" s="59"/>
      <x:c r="F25" s="59"/>
      <x:c r="G25" s="46"/>
      <x:c r="H25" s="62" t="n">
        <x:f>M79</x:f>
        <x:v>75</x:v>
      </x:c>
      <x:c r="I25" s="64" t="n">
        <x:f>P79</x:f>
        <x:v>2.8</x:v>
      </x:c>
      <x:c r="J25" s="64" t="n">
        <x:f>Q79</x:f>
        <x:v>148.7</x:v>
      </x:c>
      <x:c r="K25" s="7"/>
      <x:c r="L25" s="1"/>
      <x:c r="M25" s="93" t="n">
        <x:v>21</x:v>
      </x:c>
      <x:c r="N25" s="93" t="n">
        <x:f>INT((M25-1)/7)+1</x:f>
        <x:v>3</x:v>
      </x:c>
      <x:c r="O25" s="93" t="str">
        <x:v>CRESC</x:v>
      </x:c>
      <x:c r="P25" s="58" t="n">
        <x:v>1.6</x:v>
      </x:c>
      <x:c r="Q25" s="58" t="n">
        <x:f>SUM($P$5:P25)</x:f>
        <x:v>30.300000000000004</x:v>
      </x:c>
      <x:c r="R25" s="94"/>
      <x:c r="S25" s="1"/>
      <x:c r="T25" s="1"/>
      <x:c r="U25" s="1"/>
      <x:c r="V25" s="1"/>
    </x:row>
    <x:row r="26" ht="20" customHeight="1">
      <x:c r="A26" s="46"/>
      <x:c r="B26" s="62" t="n">
        <x:f>M24</x:f>
        <x:v>20</x:v>
      </x:c>
      <x:c r="C26" s="64" t="n">
        <x:f>P24</x:f>
        <x:v>1.6</x:v>
      </x:c>
      <x:c r="D26" s="64" t="n">
        <x:f>Q24</x:f>
        <x:v>28.700000000000003</x:v>
      </x:c>
      <x:c r="E26" s="59"/>
      <x:c r="F26" s="59"/>
      <x:c r="G26" s="46"/>
      <x:c r="H26" s="62" t="n">
        <x:f>M80</x:f>
        <x:v>76</x:v>
      </x:c>
      <x:c r="I26" s="64" t="n">
        <x:f>P80</x:f>
        <x:v>2.8</x:v>
      </x:c>
      <x:c r="J26" s="64" t="n">
        <x:f>Q80</x:f>
        <x:v>151.5</x:v>
      </x:c>
      <x:c r="K26" s="7"/>
      <x:c r="L26" s="1"/>
      <x:c r="M26" s="93" t="n">
        <x:v>22</x:v>
      </x:c>
      <x:c r="N26" s="93" t="n">
        <x:f>INT((M26-1)/7)+1</x:f>
        <x:v>4</x:v>
      </x:c>
      <x:c r="O26" s="93" t="str">
        <x:v>CRESC</x:v>
      </x:c>
      <x:c r="P26" s="58" t="n">
        <x:v>1.65</x:v>
      </x:c>
      <x:c r="Q26" s="58" t="n">
        <x:f>SUM($P$5:P26)</x:f>
        <x:v>31.950000000000003</x:v>
      </x:c>
      <x:c r="R26" s="94"/>
      <x:c r="S26" s="1"/>
      <x:c r="T26" s="1"/>
      <x:c r="U26" s="1"/>
      <x:c r="V26" s="1"/>
    </x:row>
    <x:row r="27" ht="20" customHeight="1">
      <x:c r="A27" s="46"/>
      <x:c r="B27" s="62" t="n">
        <x:f>M25</x:f>
        <x:v>21</x:v>
      </x:c>
      <x:c r="C27" s="64" t="n">
        <x:f>P25</x:f>
        <x:v>1.6</x:v>
      </x:c>
      <x:c r="D27" s="64" t="n">
        <x:f>Q25</x:f>
        <x:v>30.300000000000004</x:v>
      </x:c>
      <x:c r="E27" s="59"/>
      <x:c r="F27" s="59"/>
      <x:c r="G27" s="46"/>
      <x:c r="H27" s="62" t="n">
        <x:f>M81</x:f>
        <x:v>77</x:v>
      </x:c>
      <x:c r="I27" s="64" t="n">
        <x:f>P81</x:f>
        <x:v>2.8</x:v>
      </x:c>
      <x:c r="J27" s="64" t="n">
        <x:f>Q81</x:f>
        <x:v>154.3</x:v>
      </x:c>
      <x:c r="K27" s="7"/>
      <x:c r="L27" s="1"/>
      <x:c r="M27" s="93" t="n">
        <x:v>23</x:v>
      </x:c>
      <x:c r="N27" s="93" t="n">
        <x:f>INT((M27-1)/7)+1</x:f>
        <x:v>4</x:v>
      </x:c>
      <x:c r="O27" s="93" t="str">
        <x:v>CRESC</x:v>
      </x:c>
      <x:c r="P27" s="58" t="n">
        <x:v>1.65</x:v>
      </x:c>
      <x:c r="Q27" s="58" t="n">
        <x:f>SUM($P$5:P27)</x:f>
        <x:v>33.6</x:v>
      </x:c>
      <x:c r="R27" s="94"/>
      <x:c r="S27" s="1"/>
      <x:c r="T27" s="1"/>
      <x:c r="U27" s="1"/>
      <x:c r="V27" s="1"/>
    </x:row>
    <x:row r="28" ht="20" customHeight="1">
      <x:c r="A28" s="52" t="n">
        <x:v>4</x:v>
      </x:c>
      <x:c r="B28" s="63" t="n">
        <x:f>M26</x:f>
        <x:v>22</x:v>
      </x:c>
      <x:c r="C28" s="65" t="n">
        <x:f>P26</x:f>
        <x:v>1.65</x:v>
      </x:c>
      <x:c r="D28" s="65" t="n">
        <x:f>Q26</x:f>
        <x:v>31.950000000000003</x:v>
      </x:c>
      <x:c r="E28" s="59"/>
      <x:c r="F28" s="59"/>
      <x:c r="G28" s="52" t="n">
        <x:v>12</x:v>
      </x:c>
      <x:c r="H28" s="63" t="n">
        <x:f>M82</x:f>
        <x:v>78</x:v>
      </x:c>
      <x:c r="I28" s="65" t="n">
        <x:f>P82</x:f>
        <x:v>2.8</x:v>
      </x:c>
      <x:c r="J28" s="65" t="n">
        <x:f>Q82</x:f>
        <x:v>157.10000000000002</x:v>
      </x:c>
      <x:c r="K28" s="70" t="n">
        <x:f>'Resumo das Fases'!H9</x:f>
        <x:v>32.900000000000034</x:v>
      </x:c>
      <x:c r="L28" s="1"/>
      <x:c r="M28" s="93" t="n">
        <x:v>24</x:v>
      </x:c>
      <x:c r="N28" s="93" t="n">
        <x:f>INT((M28-1)/7)+1</x:f>
        <x:v>4</x:v>
      </x:c>
      <x:c r="O28" s="93" t="str">
        <x:v>CRESC</x:v>
      </x:c>
      <x:c r="P28" s="58" t="n">
        <x:v>1.65</x:v>
      </x:c>
      <x:c r="Q28" s="58" t="n">
        <x:f>SUM($P$5:P28)</x:f>
        <x:v>35.25</x:v>
      </x:c>
      <x:c r="R28" s="94"/>
      <x:c r="S28" s="1"/>
      <x:c r="T28" s="1"/>
      <x:c r="U28" s="1"/>
      <x:c r="V28" s="1"/>
    </x:row>
    <x:row r="29" ht="20" customHeight="1">
      <x:c r="A29" s="52"/>
      <x:c r="B29" s="63" t="n">
        <x:f>M27</x:f>
        <x:v>23</x:v>
      </x:c>
      <x:c r="C29" s="65" t="n">
        <x:f>P27</x:f>
        <x:v>1.65</x:v>
      </x:c>
      <x:c r="D29" s="65" t="n">
        <x:f>Q27</x:f>
        <x:v>33.6</x:v>
      </x:c>
      <x:c r="E29" s="59"/>
      <x:c r="F29" s="59"/>
      <x:c r="G29" s="52"/>
      <x:c r="H29" s="63" t="n">
        <x:f>M83</x:f>
        <x:v>79</x:v>
      </x:c>
      <x:c r="I29" s="65" t="n">
        <x:f>P83</x:f>
        <x:v>2.85</x:v>
      </x:c>
      <x:c r="J29" s="65" t="n">
        <x:f>Q83</x:f>
        <x:v>159.95000000000002</x:v>
      </x:c>
      <x:c r="K29" s="7"/>
      <x:c r="L29" s="1"/>
      <x:c r="M29" s="93" t="n">
        <x:v>25</x:v>
      </x:c>
      <x:c r="N29" s="93" t="n">
        <x:f>INT((M29-1)/7)+1</x:f>
        <x:v>4</x:v>
      </x:c>
      <x:c r="O29" s="93" t="str">
        <x:v>CRESC</x:v>
      </x:c>
      <x:c r="P29" s="58" t="n">
        <x:v>1.7</x:v>
      </x:c>
      <x:c r="Q29" s="58" t="n">
        <x:f>SUM($P$5:P29)</x:f>
        <x:v>36.95</x:v>
      </x:c>
      <x:c r="R29" s="94"/>
      <x:c r="S29" s="1"/>
      <x:c r="T29" s="1"/>
      <x:c r="U29" s="1"/>
      <x:c r="V29" s="1"/>
    </x:row>
    <x:row r="30" ht="20" customHeight="1">
      <x:c r="A30" s="52"/>
      <x:c r="B30" s="63" t="n">
        <x:f>M28</x:f>
        <x:v>24</x:v>
      </x:c>
      <x:c r="C30" s="65" t="n">
        <x:f>P28</x:f>
        <x:v>1.65</x:v>
      </x:c>
      <x:c r="D30" s="65" t="n">
        <x:f>Q28</x:f>
        <x:v>35.25</x:v>
      </x:c>
      <x:c r="E30" s="59"/>
      <x:c r="F30" s="59"/>
      <x:c r="G30" s="52"/>
      <x:c r="H30" s="63" t="n">
        <x:f>M84</x:f>
        <x:v>80</x:v>
      </x:c>
      <x:c r="I30" s="65" t="n">
        <x:f>P84</x:f>
        <x:v>2.85</x:v>
      </x:c>
      <x:c r="J30" s="65" t="n">
        <x:f>Q84</x:f>
        <x:v>162.8</x:v>
      </x:c>
      <x:c r="K30" s="7"/>
      <x:c r="L30" s="1"/>
      <x:c r="M30" s="93" t="n">
        <x:v>26</x:v>
      </x:c>
      <x:c r="N30" s="93" t="n">
        <x:f>INT((M30-1)/7)+1</x:f>
        <x:v>4</x:v>
      </x:c>
      <x:c r="O30" s="93" t="str">
        <x:v>CRESC</x:v>
      </x:c>
      <x:c r="P30" s="58" t="n">
        <x:v>1.7</x:v>
      </x:c>
      <x:c r="Q30" s="58" t="n">
        <x:f>SUM($P$5:P30)</x:f>
        <x:v>38.650000000000006</x:v>
      </x:c>
      <x:c r="R30" s="94"/>
      <x:c r="S30" s="1"/>
      <x:c r="T30" s="1"/>
      <x:c r="U30" s="1"/>
      <x:c r="V30" s="1"/>
    </x:row>
    <x:row r="31" ht="20" customHeight="1">
      <x:c r="A31" s="52"/>
      <x:c r="B31" s="63" t="n">
        <x:f>M29</x:f>
        <x:v>25</x:v>
      </x:c>
      <x:c r="C31" s="65" t="n">
        <x:f>P29</x:f>
        <x:v>1.7</x:v>
      </x:c>
      <x:c r="D31" s="65" t="n">
        <x:f>Q29</x:f>
        <x:v>36.95</x:v>
      </x:c>
      <x:c r="E31" s="59"/>
      <x:c r="F31" s="59"/>
      <x:c r="G31" s="52"/>
      <x:c r="H31" s="63" t="n">
        <x:f>M85</x:f>
        <x:v>81</x:v>
      </x:c>
      <x:c r="I31" s="65" t="n">
        <x:f>P85</x:f>
        <x:v>2.85</x:v>
      </x:c>
      <x:c r="J31" s="65" t="n">
        <x:f>Q85</x:f>
        <x:v>165.65</x:v>
      </x:c>
      <x:c r="K31" s="7"/>
      <x:c r="L31" s="1"/>
      <x:c r="M31" s="93" t="n">
        <x:v>27</x:v>
      </x:c>
      <x:c r="N31" s="93" t="n">
        <x:f>INT((M31-1)/7)+1</x:f>
        <x:v>4</x:v>
      </x:c>
      <x:c r="O31" s="93" t="str">
        <x:v>CRESC</x:v>
      </x:c>
      <x:c r="P31" s="58" t="n">
        <x:v>1.7</x:v>
      </x:c>
      <x:c r="Q31" s="58" t="n">
        <x:f>SUM($P$5:P31)</x:f>
        <x:v>40.35000000000001</x:v>
      </x:c>
      <x:c r="R31" s="94"/>
      <x:c r="S31" s="1"/>
      <x:c r="T31" s="1"/>
      <x:c r="U31" s="1"/>
      <x:c r="V31" s="1"/>
    </x:row>
    <x:row r="32" ht="20" customHeight="1">
      <x:c r="A32" s="52"/>
      <x:c r="B32" s="63" t="n">
        <x:f>M30</x:f>
        <x:v>26</x:v>
      </x:c>
      <x:c r="C32" s="65" t="n">
        <x:f>P30</x:f>
        <x:v>1.7</x:v>
      </x:c>
      <x:c r="D32" s="65" t="n">
        <x:f>Q30</x:f>
        <x:v>38.650000000000006</x:v>
      </x:c>
      <x:c r="E32" s="59"/>
      <x:c r="F32" s="59"/>
      <x:c r="G32" s="52"/>
      <x:c r="H32" s="63" t="n">
        <x:f>M86</x:f>
        <x:v>82</x:v>
      </x:c>
      <x:c r="I32" s="65" t="n">
        <x:f>P86</x:f>
        <x:v>2.85</x:v>
      </x:c>
      <x:c r="J32" s="65" t="n">
        <x:f>Q86</x:f>
        <x:v>168.5</x:v>
      </x:c>
      <x:c r="K32" s="7"/>
      <x:c r="L32" s="1"/>
      <x:c r="M32" s="93" t="n">
        <x:v>28</x:v>
      </x:c>
      <x:c r="N32" s="93" t="n">
        <x:f>INT((M32-1)/7)+1</x:f>
        <x:v>4</x:v>
      </x:c>
      <x:c r="O32" s="93" t="str">
        <x:v>CRESC</x:v>
      </x:c>
      <x:c r="P32" s="58" t="n">
        <x:v>1.75</x:v>
      </x:c>
      <x:c r="Q32" s="58" t="n">
        <x:f>SUM($P$5:P32)</x:f>
        <x:v>42.10000000000001</x:v>
      </x:c>
      <x:c r="R32" s="94"/>
      <x:c r="S32" s="1"/>
      <x:c r="T32" s="1"/>
      <x:c r="U32" s="1"/>
      <x:c r="V32" s="1"/>
    </x:row>
    <x:row r="33" ht="20" customHeight="1">
      <x:c r="A33" s="52"/>
      <x:c r="B33" s="63" t="n">
        <x:f>M31</x:f>
        <x:v>27</x:v>
      </x:c>
      <x:c r="C33" s="65" t="n">
        <x:f>P31</x:f>
        <x:v>1.7</x:v>
      </x:c>
      <x:c r="D33" s="65" t="n">
        <x:f>Q31</x:f>
        <x:v>40.35000000000001</x:v>
      </x:c>
      <x:c r="E33" s="59"/>
      <x:c r="F33" s="59"/>
      <x:c r="G33" s="52"/>
      <x:c r="H33" s="63" t="n">
        <x:f>M87</x:f>
        <x:v>83</x:v>
      </x:c>
      <x:c r="I33" s="65" t="n">
        <x:f>P87</x:f>
        <x:v>2.85</x:v>
      </x:c>
      <x:c r="J33" s="65" t="n">
        <x:f>Q87</x:f>
        <x:v>171.35</x:v>
      </x:c>
      <x:c r="K33" s="7"/>
      <x:c r="L33" s="1"/>
      <x:c r="M33" s="93" t="n">
        <x:v>29</x:v>
      </x:c>
      <x:c r="N33" s="93" t="n">
        <x:f>INT((M33-1)/7)+1</x:f>
        <x:v>5</x:v>
      </x:c>
      <x:c r="O33" s="93" t="str">
        <x:v>CRESC</x:v>
      </x:c>
      <x:c r="P33" s="58" t="n">
        <x:v>1.75</x:v>
      </x:c>
      <x:c r="Q33" s="58" t="n">
        <x:f>SUM($P$5:P33)</x:f>
        <x:v>43.85000000000001</x:v>
      </x:c>
      <x:c r="R33" s="94"/>
      <x:c r="S33" s="1"/>
      <x:c r="T33" s="1"/>
      <x:c r="U33" s="1"/>
      <x:c r="V33" s="1"/>
    </x:row>
    <x:row r="34" ht="20" customHeight="1">
      <x:c r="A34" s="52"/>
      <x:c r="B34" s="63" t="n">
        <x:f>M32</x:f>
        <x:v>28</x:v>
      </x:c>
      <x:c r="C34" s="65" t="n">
        <x:f>P32</x:f>
        <x:v>1.75</x:v>
      </x:c>
      <x:c r="D34" s="65" t="n">
        <x:f>Q32</x:f>
        <x:v>42.10000000000001</x:v>
      </x:c>
      <x:c r="E34" s="59"/>
      <x:c r="F34" s="59"/>
      <x:c r="G34" s="52"/>
      <x:c r="H34" s="63" t="n">
        <x:f>M88</x:f>
        <x:v>84</x:v>
      </x:c>
      <x:c r="I34" s="65" t="n">
        <x:f>P88</x:f>
        <x:v>2.9</x:v>
      </x:c>
      <x:c r="J34" s="65" t="n">
        <x:f>Q88</x:f>
        <x:v>174.25</x:v>
      </x:c>
      <x:c r="K34" s="7"/>
      <x:c r="L34" s="1"/>
      <x:c r="M34" s="93" t="n">
        <x:v>30</x:v>
      </x:c>
      <x:c r="N34" s="93" t="n">
        <x:f>INT((M34-1)/7)+1</x:f>
        <x:v>5</x:v>
      </x:c>
      <x:c r="O34" s="93" t="str">
        <x:v>CRESC</x:v>
      </x:c>
      <x:c r="P34" s="58" t="n">
        <x:v>1.75</x:v>
      </x:c>
      <x:c r="Q34" s="58" t="n">
        <x:f>SUM($P$5:P34)</x:f>
        <x:v>45.60000000000001</x:v>
      </x:c>
      <x:c r="R34" s="94"/>
      <x:c r="S34" s="1"/>
      <x:c r="T34" s="1"/>
      <x:c r="U34" s="1"/>
      <x:c r="V34" s="1"/>
    </x:row>
    <x:row r="35" ht="20" customHeight="1">
      <x:c r="A35" s="46" t="n">
        <x:v>5</x:v>
      </x:c>
      <x:c r="B35" s="62" t="n">
        <x:f>M33</x:f>
        <x:v>29</x:v>
      </x:c>
      <x:c r="C35" s="64" t="n">
        <x:f>P33</x:f>
        <x:v>1.75</x:v>
      </x:c>
      <x:c r="D35" s="64" t="n">
        <x:f>Q33</x:f>
        <x:v>43.85000000000001</x:v>
      </x:c>
      <x:c r="E35" s="59"/>
      <x:c r="F35" s="59"/>
      <x:c r="G35" s="46" t="n">
        <x:v>13</x:v>
      </x:c>
      <x:c r="H35" s="62" t="n">
        <x:f>M89</x:f>
        <x:v>85</x:v>
      </x:c>
      <x:c r="I35" s="64" t="n">
        <x:f>P89</x:f>
        <x:v>2.9</x:v>
      </x:c>
      <x:c r="J35" s="64" t="n">
        <x:f>Q89</x:f>
        <x:v>177.15</x:v>
      </x:c>
      <x:c r="K35" s="7"/>
      <x:c r="L35" s="1"/>
      <x:c r="M35" s="93" t="n">
        <x:v>31</x:v>
      </x:c>
      <x:c r="N35" s="93" t="n">
        <x:f>INT((M35-1)/7)+1</x:f>
        <x:v>5</x:v>
      </x:c>
      <x:c r="O35" s="93" t="str">
        <x:v>CRESC</x:v>
      </x:c>
      <x:c r="P35" s="58" t="n">
        <x:v>1.8</x:v>
      </x:c>
      <x:c r="Q35" s="58" t="n">
        <x:f>SUM($P$5:P35)</x:f>
        <x:v>47.400000000000006</x:v>
      </x:c>
      <x:c r="R35" s="94"/>
      <x:c r="S35" s="1"/>
      <x:c r="T35" s="1"/>
      <x:c r="U35" s="1"/>
      <x:c r="V35" s="1"/>
    </x:row>
    <x:row r="36" ht="20" customHeight="1">
      <x:c r="A36" s="46"/>
      <x:c r="B36" s="62" t="n">
        <x:f>M34</x:f>
        <x:v>30</x:v>
      </x:c>
      <x:c r="C36" s="64" t="n">
        <x:f>P34</x:f>
        <x:v>1.75</x:v>
      </x:c>
      <x:c r="D36" s="64" t="n">
        <x:f>Q34</x:f>
        <x:v>45.60000000000001</x:v>
      </x:c>
      <x:c r="E36" s="59"/>
      <x:c r="F36" s="59"/>
      <x:c r="G36" s="46"/>
      <x:c r="H36" s="62" t="n">
        <x:f>M90</x:f>
        <x:v>86</x:v>
      </x:c>
      <x:c r="I36" s="64" t="n">
        <x:f>P90</x:f>
        <x:v>2.9</x:v>
      </x:c>
      <x:c r="J36" s="64" t="n">
        <x:f>Q90</x:f>
        <x:v>180.05</x:v>
      </x:c>
      <x:c r="K36" s="7"/>
      <x:c r="L36" s="1"/>
      <x:c r="M36" s="93" t="n">
        <x:v>32</x:v>
      </x:c>
      <x:c r="N36" s="93" t="n">
        <x:f>INT((M36-1)/7)+1</x:f>
        <x:v>5</x:v>
      </x:c>
      <x:c r="O36" s="93" t="str">
        <x:v>CRESC</x:v>
      </x:c>
      <x:c r="P36" s="58" t="n">
        <x:v>1.8</x:v>
      </x:c>
      <x:c r="Q36" s="58" t="n">
        <x:f>SUM($P$5:P36)</x:f>
        <x:v>49.2</x:v>
      </x:c>
      <x:c r="R36" s="94"/>
      <x:c r="S36" s="1"/>
      <x:c r="T36" s="1"/>
      <x:c r="U36" s="1"/>
      <x:c r="V36" s="1"/>
    </x:row>
    <x:row r="37" ht="20" customHeight="1">
      <x:c r="A37" s="46"/>
      <x:c r="B37" s="62" t="n">
        <x:f>M35</x:f>
        <x:v>31</x:v>
      </x:c>
      <x:c r="C37" s="64" t="n">
        <x:f>P35</x:f>
        <x:v>1.8</x:v>
      </x:c>
      <x:c r="D37" s="64" t="n">
        <x:f>Q35</x:f>
        <x:v>47.400000000000006</x:v>
      </x:c>
      <x:c r="E37" s="59"/>
      <x:c r="F37" s="59"/>
      <x:c r="G37" s="46"/>
      <x:c r="H37" s="62" t="n">
        <x:f>M91</x:f>
        <x:v>87</x:v>
      </x:c>
      <x:c r="I37" s="64" t="n">
        <x:f>P91</x:f>
        <x:v>2.9</x:v>
      </x:c>
      <x:c r="J37" s="64" t="n">
        <x:f>Q91</x:f>
        <x:v>182.95000000000002</x:v>
      </x:c>
      <x:c r="K37" s="7"/>
      <x:c r="L37" s="1"/>
      <x:c r="M37" s="93" t="n">
        <x:v>33</x:v>
      </x:c>
      <x:c r="N37" s="93" t="n">
        <x:f>INT((M37-1)/7)+1</x:f>
        <x:v>5</x:v>
      </x:c>
      <x:c r="O37" s="93" t="str">
        <x:v>CRESC</x:v>
      </x:c>
      <x:c r="P37" s="58" t="n">
        <x:v>1.8</x:v>
      </x:c>
      <x:c r="Q37" s="58" t="n">
        <x:f>SUM($P$5:P37)</x:f>
        <x:v>51</x:v>
      </x:c>
      <x:c r="R37" s="94"/>
      <x:c r="S37" s="1"/>
      <x:c r="T37" s="1"/>
      <x:c r="U37" s="1"/>
      <x:c r="V37" s="1"/>
    </x:row>
    <x:row r="38" ht="20" customHeight="1">
      <x:c r="A38" s="46"/>
      <x:c r="B38" s="62" t="n">
        <x:f>M36</x:f>
        <x:v>32</x:v>
      </x:c>
      <x:c r="C38" s="64" t="n">
        <x:f>P36</x:f>
        <x:v>1.8</x:v>
      </x:c>
      <x:c r="D38" s="64" t="n">
        <x:f>Q36</x:f>
        <x:v>49.2</x:v>
      </x:c>
      <x:c r="E38" s="59"/>
      <x:c r="F38" s="59"/>
      <x:c r="G38" s="46"/>
      <x:c r="H38" s="62" t="n">
        <x:f>M92</x:f>
        <x:v>88</x:v>
      </x:c>
      <x:c r="I38" s="64" t="n">
        <x:f>P92</x:f>
        <x:v>2.9</x:v>
      </x:c>
      <x:c r="J38" s="64" t="n">
        <x:f>Q92</x:f>
        <x:v>185.85000000000002</x:v>
      </x:c>
      <x:c r="K38" s="7"/>
      <x:c r="L38" s="1"/>
      <x:c r="M38" s="93" t="n">
        <x:v>34</x:v>
      </x:c>
      <x:c r="N38" s="93" t="n">
        <x:f>INT((M38-1)/7)+1</x:f>
        <x:v>5</x:v>
      </x:c>
      <x:c r="O38" s="93" t="str">
        <x:v>CRESC</x:v>
      </x:c>
      <x:c r="P38" s="58" t="n">
        <x:v>1.85</x:v>
      </x:c>
      <x:c r="Q38" s="58" t="n">
        <x:f>SUM($P$5:P38)</x:f>
        <x:v>52.85</x:v>
      </x:c>
      <x:c r="R38" s="94"/>
      <x:c r="S38" s="1"/>
      <x:c r="T38" s="1"/>
      <x:c r="U38" s="1"/>
      <x:c r="V38" s="1"/>
    </x:row>
    <x:row r="39" ht="20" customHeight="1">
      <x:c r="A39" s="46"/>
      <x:c r="B39" s="62" t="n">
        <x:f>M37</x:f>
        <x:v>33</x:v>
      </x:c>
      <x:c r="C39" s="64" t="n">
        <x:f>P37</x:f>
        <x:v>1.8</x:v>
      </x:c>
      <x:c r="D39" s="64" t="n">
        <x:f>Q37</x:f>
        <x:v>51</x:v>
      </x:c>
      <x:c r="E39" s="59"/>
      <x:c r="F39" s="59"/>
      <x:c r="G39" s="46"/>
      <x:c r="H39" s="62" t="n">
        <x:f>M93</x:f>
        <x:v>89</x:v>
      </x:c>
      <x:c r="I39" s="64" t="n">
        <x:f>P93</x:f>
        <x:v>2.95</x:v>
      </x:c>
      <x:c r="J39" s="64" t="n">
        <x:f>Q93</x:f>
        <x:v>188.8</x:v>
      </x:c>
      <x:c r="K39" s="7"/>
      <x:c r="L39" s="1"/>
      <x:c r="M39" s="93" t="n">
        <x:v>35</x:v>
      </x:c>
      <x:c r="N39" s="93" t="n">
        <x:f>INT((M39-1)/7)+1</x:f>
        <x:v>5</x:v>
      </x:c>
      <x:c r="O39" s="93" t="str">
        <x:v>EXTRA I</x:v>
      </x:c>
      <x:c r="P39" s="58" t="n">
        <x:v>1.85</x:v>
      </x:c>
      <x:c r="Q39" s="58" t="n">
        <x:f>SUM($P$5:P39)</x:f>
        <x:v>54.7</x:v>
      </x:c>
      <x:c r="R39" s="94"/>
      <x:c r="S39" s="1"/>
      <x:c r="T39" s="1"/>
      <x:c r="U39" s="1"/>
      <x:c r="V39" s="1"/>
    </x:row>
    <x:row r="40" ht="20" customHeight="1">
      <x:c r="A40" s="46"/>
      <x:c r="B40" s="62" t="n">
        <x:f>M38</x:f>
        <x:v>34</x:v>
      </x:c>
      <x:c r="C40" s="64" t="n">
        <x:f>P38</x:f>
        <x:v>1.85</x:v>
      </x:c>
      <x:c r="D40" s="64" t="n">
        <x:f>Q38</x:f>
        <x:v>52.85</x:v>
      </x:c>
      <x:c r="E40" s="70" t="n">
        <x:f>'Resumo das Fases'!H6</x:f>
        <x:v>36.5</x:v>
      </x:c>
      <x:c r="F40" s="59"/>
      <x:c r="G40" s="46"/>
      <x:c r="H40" s="62" t="n">
        <x:f>M94</x:f>
        <x:v>90</x:v>
      </x:c>
      <x:c r="I40" s="64" t="n">
        <x:f>P94</x:f>
        <x:v>2.95</x:v>
      </x:c>
      <x:c r="J40" s="64" t="n">
        <x:f>Q94</x:f>
        <x:v>191.75</x:v>
      </x:c>
      <x:c r="K40" s="7"/>
      <x:c r="L40" s="1"/>
      <x:c r="M40" s="93" t="n">
        <x:v>36</x:v>
      </x:c>
      <x:c r="N40" s="93" t="n">
        <x:f>INT((M40-1)/7)+1</x:f>
        <x:v>6</x:v>
      </x:c>
      <x:c r="O40" s="93" t="str">
        <x:v>EXTRA I</x:v>
      </x:c>
      <x:c r="P40" s="58" t="n">
        <x:v>1.85</x:v>
      </x:c>
      <x:c r="Q40" s="58" t="n">
        <x:f>SUM($P$5:P40)</x:f>
        <x:v>56.550000000000004</x:v>
      </x:c>
      <x:c r="R40" s="94"/>
      <x:c r="S40" s="1"/>
      <x:c r="T40" s="1"/>
      <x:c r="U40" s="1"/>
      <x:c r="V40" s="1"/>
    </x:row>
    <x:row r="41" ht="20" customHeight="1">
      <x:c r="A41" s="46"/>
      <x:c r="B41" s="62" t="n">
        <x:f>M39</x:f>
        <x:v>35</x:v>
      </x:c>
      <x:c r="C41" s="64" t="n">
        <x:f>P39</x:f>
        <x:v>1.85</x:v>
      </x:c>
      <x:c r="D41" s="64" t="n">
        <x:f>Q39</x:f>
        <x:v>54.7</x:v>
      </x:c>
      <x:c r="E41" s="59"/>
      <x:c r="F41" s="59"/>
      <x:c r="G41" s="46"/>
      <x:c r="H41" s="62" t="n">
        <x:f>M95</x:f>
        <x:v>91</x:v>
      </x:c>
      <x:c r="I41" s="64" t="n">
        <x:f>P95</x:f>
        <x:v>2.95</x:v>
      </x:c>
      <x:c r="J41" s="64" t="n">
        <x:f>Q95</x:f>
        <x:v>194.7</x:v>
      </x:c>
      <x:c r="K41" s="7"/>
      <x:c r="L41" s="1"/>
      <x:c r="M41" s="93" t="n">
        <x:v>37</x:v>
      </x:c>
      <x:c r="N41" s="93" t="n">
        <x:f>INT((M41-1)/7)+1</x:f>
        <x:v>6</x:v>
      </x:c>
      <x:c r="O41" s="93" t="str">
        <x:v>EXTRA I</x:v>
      </x:c>
      <x:c r="P41" s="58" t="n">
        <x:v>1.9</x:v>
      </x:c>
      <x:c r="Q41" s="58" t="n">
        <x:f>SUM($P$5:P41)</x:f>
        <x:v>58.45</x:v>
      </x:c>
      <x:c r="R41" s="94"/>
      <x:c r="S41" s="1"/>
      <x:c r="T41" s="1"/>
      <x:c r="U41" s="1"/>
      <x:c r="V41" s="1"/>
    </x:row>
    <x:row r="42" ht="20" customHeight="1">
      <x:c r="A42" s="52" t="n">
        <x:v>6</x:v>
      </x:c>
      <x:c r="B42" s="63" t="n">
        <x:f>M40</x:f>
        <x:v>36</x:v>
      </x:c>
      <x:c r="C42" s="65" t="n">
        <x:f>P40</x:f>
        <x:v>1.85</x:v>
      </x:c>
      <x:c r="D42" s="65" t="n">
        <x:f>Q40</x:f>
        <x:v>56.550000000000004</x:v>
      </x:c>
      <x:c r="E42" s="59"/>
      <x:c r="F42" s="59"/>
      <x:c r="G42" s="52" t="n">
        <x:v>14</x:v>
      </x:c>
      <x:c r="H42" s="63" t="n">
        <x:f>M96</x:f>
        <x:v>92</x:v>
      </x:c>
      <x:c r="I42" s="65" t="n">
        <x:f>P96</x:f>
        <x:v>2.95</x:v>
      </x:c>
      <x:c r="J42" s="65" t="n">
        <x:f>Q96</x:f>
        <x:v>197.64999999999998</x:v>
      </x:c>
      <x:c r="K42" s="7"/>
      <x:c r="L42" s="1"/>
      <x:c r="M42" s="93" t="n">
        <x:v>38</x:v>
      </x:c>
      <x:c r="N42" s="93" t="n">
        <x:f>INT((M42-1)/7)+1</x:f>
        <x:v>6</x:v>
      </x:c>
      <x:c r="O42" s="93" t="str">
        <x:v>EXTRA I</x:v>
      </x:c>
      <x:c r="P42" s="58" t="n">
        <x:v>1.9</x:v>
      </x:c>
      <x:c r="Q42" s="58" t="n">
        <x:f>SUM($P$5:P42)</x:f>
        <x:v>60.35</x:v>
      </x:c>
      <x:c r="R42" s="94"/>
      <x:c r="S42" s="1"/>
      <x:c r="T42" s="1"/>
      <x:c r="U42" s="1"/>
      <x:c r="V42" s="1"/>
    </x:row>
    <x:row r="43" ht="20" customHeight="1">
      <x:c r="A43" s="52"/>
      <x:c r="B43" s="63" t="n">
        <x:f>M41</x:f>
        <x:v>37</x:v>
      </x:c>
      <x:c r="C43" s="65" t="n">
        <x:f>P41</x:f>
        <x:v>1.9</x:v>
      </x:c>
      <x:c r="D43" s="65" t="n">
        <x:f>Q41</x:f>
        <x:v>58.45</x:v>
      </x:c>
      <x:c r="E43" s="59"/>
      <x:c r="F43" s="59"/>
      <x:c r="G43" s="52"/>
      <x:c r="H43" s="63" t="n">
        <x:f>M97</x:f>
        <x:v>93</x:v>
      </x:c>
      <x:c r="I43" s="65" t="n">
        <x:f>P97</x:f>
        <x:v>2.95</x:v>
      </x:c>
      <x:c r="J43" s="65" t="n">
        <x:f>Q97</x:f>
        <x:v>200.59999999999997</x:v>
      </x:c>
      <x:c r="K43" s="7"/>
      <x:c r="L43" s="1"/>
      <x:c r="M43" s="93" t="n">
        <x:v>39</x:v>
      </x:c>
      <x:c r="N43" s="93" t="n">
        <x:f>INT((M43-1)/7)+1</x:f>
        <x:v>6</x:v>
      </x:c>
      <x:c r="O43" s="93" t="str">
        <x:v>EXTRA I</x:v>
      </x:c>
      <x:c r="P43" s="58" t="n">
        <x:v>1.9</x:v>
      </x:c>
      <x:c r="Q43" s="58" t="n">
        <x:f>SUM($P$5:P43)</x:f>
        <x:v>62.25</x:v>
      </x:c>
      <x:c r="R43" s="94"/>
      <x:c r="S43" s="1"/>
      <x:c r="T43" s="1"/>
      <x:c r="U43" s="1"/>
      <x:c r="V43" s="1"/>
    </x:row>
    <x:row r="44" ht="20" customHeight="1">
      <x:c r="A44" s="52"/>
      <x:c r="B44" s="63" t="n">
        <x:f>M42</x:f>
        <x:v>38</x:v>
      </x:c>
      <x:c r="C44" s="65" t="n">
        <x:f>P42</x:f>
        <x:v>1.9</x:v>
      </x:c>
      <x:c r="D44" s="65" t="n">
        <x:f>Q42</x:f>
        <x:v>60.35</x:v>
      </x:c>
      <x:c r="E44" s="59"/>
      <x:c r="F44" s="59"/>
      <x:c r="G44" s="52"/>
      <x:c r="H44" s="63" t="n">
        <x:f>M98</x:f>
        <x:v>94</x:v>
      </x:c>
      <x:c r="I44" s="65" t="n">
        <x:f>P98</x:f>
        <x:v>2.95</x:v>
      </x:c>
      <x:c r="J44" s="65" t="n">
        <x:f>Q98</x:f>
        <x:v>203.54999999999995</x:v>
      </x:c>
      <x:c r="K44" s="7"/>
      <x:c r="L44" s="1"/>
      <x:c r="M44" s="93" t="n">
        <x:v>40</x:v>
      </x:c>
      <x:c r="N44" s="93" t="n">
        <x:f>INT((M44-1)/7)+1</x:f>
        <x:v>6</x:v>
      </x:c>
      <x:c r="O44" s="93" t="str">
        <x:v>EXTRA I</x:v>
      </x:c>
      <x:c r="P44" s="58" t="n">
        <x:v>2</x:v>
      </x:c>
      <x:c r="Q44" s="58" t="n">
        <x:f>SUM($P$5:P44)</x:f>
        <x:v>64.25</x:v>
      </x:c>
      <x:c r="R44" s="94"/>
      <x:c r="S44" s="1"/>
      <x:c r="T44" s="1"/>
      <x:c r="U44" s="1"/>
      <x:c r="V44" s="1"/>
    </x:row>
    <x:row r="45" ht="20" customHeight="1">
      <x:c r="A45" s="52"/>
      <x:c r="B45" s="63" t="n">
        <x:f>M43</x:f>
        <x:v>39</x:v>
      </x:c>
      <x:c r="C45" s="65" t="n">
        <x:f>P43</x:f>
        <x:v>1.9</x:v>
      </x:c>
      <x:c r="D45" s="65" t="n">
        <x:f>Q43</x:f>
        <x:v>62.25</x:v>
      </x:c>
      <x:c r="E45" s="59"/>
      <x:c r="F45" s="59"/>
      <x:c r="G45" s="52"/>
      <x:c r="H45" s="63" t="n">
        <x:f>M99</x:f>
        <x:v>95</x:v>
      </x:c>
      <x:c r="I45" s="65" t="n">
        <x:f>P99</x:f>
        <x:v>3</x:v>
      </x:c>
      <x:c r="J45" s="65" t="n">
        <x:f>Q99</x:f>
        <x:v>206.54999999999995</x:v>
      </x:c>
      <x:c r="K45" s="7"/>
      <x:c r="L45" s="1"/>
      <x:c r="M45" s="93" t="n">
        <x:v>41</x:v>
      </x:c>
      <x:c r="N45" s="93" t="n">
        <x:f>INT((M45-1)/7)+1</x:f>
        <x:v>6</x:v>
      </x:c>
      <x:c r="O45" s="93" t="str">
        <x:v>EXTRA I</x:v>
      </x:c>
      <x:c r="P45" s="58" t="n">
        <x:v>2</x:v>
      </x:c>
      <x:c r="Q45" s="58" t="n">
        <x:f>SUM($P$5:P45)</x:f>
        <x:v>66.25</x:v>
      </x:c>
      <x:c r="R45" s="94"/>
      <x:c r="S45" s="1"/>
      <x:c r="T45" s="1"/>
      <x:c r="U45" s="1"/>
      <x:c r="V45" s="1"/>
    </x:row>
    <x:row r="46" ht="20" customHeight="1">
      <x:c r="A46" s="52"/>
      <x:c r="B46" s="63" t="n">
        <x:f>M44</x:f>
        <x:v>40</x:v>
      </x:c>
      <x:c r="C46" s="65" t="n">
        <x:f>P44</x:f>
        <x:v>2</x:v>
      </x:c>
      <x:c r="D46" s="65" t="n">
        <x:f>Q44</x:f>
        <x:v>64.25</x:v>
      </x:c>
      <x:c r="E46" s="59"/>
      <x:c r="F46" s="59"/>
      <x:c r="G46" s="52"/>
      <x:c r="H46" s="63" t="n">
        <x:f>M100</x:f>
        <x:v>96</x:v>
      </x:c>
      <x:c r="I46" s="65" t="n">
        <x:f>P100</x:f>
        <x:v>3</x:v>
      </x:c>
      <x:c r="J46" s="65" t="n">
        <x:f>Q100</x:f>
        <x:v>209.54999999999995</x:v>
      </x:c>
      <x:c r="K46" s="7"/>
      <x:c r="L46" s="1"/>
      <x:c r="M46" s="93" t="n">
        <x:v>42</x:v>
      </x:c>
      <x:c r="N46" s="93" t="n">
        <x:f>INT((M46-1)/7)+1</x:f>
        <x:v>6</x:v>
      </x:c>
      <x:c r="O46" s="93" t="str">
        <x:v>EXTRA I</x:v>
      </x:c>
      <x:c r="P46" s="58" t="n">
        <x:v>2</x:v>
      </x:c>
      <x:c r="Q46" s="58" t="n">
        <x:f>SUM($P$5:P46)</x:f>
        <x:v>68.25</x:v>
      </x:c>
      <x:c r="R46" s="94"/>
      <x:c r="S46" s="1"/>
      <x:c r="T46" s="1"/>
      <x:c r="U46" s="1"/>
      <x:c r="V46" s="1"/>
    </x:row>
    <x:row r="47" ht="20" customHeight="1">
      <x:c r="A47" s="52"/>
      <x:c r="B47" s="63" t="n">
        <x:f>M45</x:f>
        <x:v>41</x:v>
      </x:c>
      <x:c r="C47" s="65" t="n">
        <x:f>P45</x:f>
        <x:v>2</x:v>
      </x:c>
      <x:c r="D47" s="65" t="n">
        <x:f>Q45</x:f>
        <x:v>66.25</x:v>
      </x:c>
      <x:c r="E47" s="59"/>
      <x:c r="F47" s="59"/>
      <x:c r="G47" s="52"/>
      <x:c r="H47" s="63" t="n">
        <x:f>M101</x:f>
        <x:v>97</x:v>
      </x:c>
      <x:c r="I47" s="65" t="n">
        <x:f>P101</x:f>
        <x:v>3</x:v>
      </x:c>
      <x:c r="J47" s="65" t="n">
        <x:f>Q101</x:f>
        <x:v>212.54999999999995</x:v>
      </x:c>
      <x:c r="K47" s="7"/>
      <x:c r="L47" s="1"/>
      <x:c r="M47" s="93" t="n">
        <x:v>43</x:v>
      </x:c>
      <x:c r="N47" s="93" t="n">
        <x:f>INT((M47-1)/7)+1</x:f>
        <x:v>7</x:v>
      </x:c>
      <x:c r="O47" s="93" t="str">
        <x:v>EXTRA I</x:v>
      </x:c>
      <x:c r="P47" s="58" t="n">
        <x:v>2.1</x:v>
      </x:c>
      <x:c r="Q47" s="58" t="n">
        <x:f>SUM($P$5:P47)</x:f>
        <x:v>70.35</x:v>
      </x:c>
      <x:c r="R47" s="94"/>
      <x:c r="S47" s="1"/>
      <x:c r="T47" s="1"/>
      <x:c r="U47" s="1"/>
      <x:c r="V47" s="1"/>
    </x:row>
    <x:row r="48" ht="20" customHeight="1">
      <x:c r="A48" s="52"/>
      <x:c r="B48" s="63" t="n">
        <x:f>M46</x:f>
        <x:v>42</x:v>
      </x:c>
      <x:c r="C48" s="65" t="n">
        <x:f>P46</x:f>
        <x:v>2</x:v>
      </x:c>
      <x:c r="D48" s="65" t="n">
        <x:f>Q46</x:f>
        <x:v>68.25</x:v>
      </x:c>
      <x:c r="E48" s="59"/>
      <x:c r="F48" s="59"/>
      <x:c r="G48" s="52"/>
      <x:c r="H48" s="63" t="n">
        <x:f>M102</x:f>
        <x:v>98</x:v>
      </x:c>
      <x:c r="I48" s="65" t="n">
        <x:f>P102</x:f>
        <x:v>3</x:v>
      </x:c>
      <x:c r="J48" s="65" t="n">
        <x:f>Q102</x:f>
        <x:v>215.54999999999995</x:v>
      </x:c>
      <x:c r="K48" s="7"/>
      <x:c r="L48" s="1"/>
      <x:c r="M48" s="93" t="n">
        <x:v>44</x:v>
      </x:c>
      <x:c r="N48" s="93" t="n">
        <x:f>INT((M48-1)/7)+1</x:f>
        <x:v>7</x:v>
      </x:c>
      <x:c r="O48" s="93" t="str">
        <x:v>EXTRA I</x:v>
      </x:c>
      <x:c r="P48" s="58" t="n">
        <x:v>2.1</x:v>
      </x:c>
      <x:c r="Q48" s="58" t="n">
        <x:f>SUM($P$5:P48)</x:f>
        <x:v>72.44999999999999</x:v>
      </x:c>
      <x:c r="R48" s="94"/>
      <x:c r="S48" s="1"/>
      <x:c r="T48" s="1"/>
      <x:c r="U48" s="1"/>
      <x:c r="V48" s="1"/>
    </x:row>
    <x:row r="49" ht="20" customHeight="1">
      <x:c r="A49" s="46" t="n">
        <x:v>7</x:v>
      </x:c>
      <x:c r="B49" s="62" t="n">
        <x:f>M47</x:f>
        <x:v>43</x:v>
      </x:c>
      <x:c r="C49" s="64" t="n">
        <x:f>P47</x:f>
        <x:v>2.1</x:v>
      </x:c>
      <x:c r="D49" s="64" t="n">
        <x:f>Q47</x:f>
        <x:v>70.35</x:v>
      </x:c>
      <x:c r="E49" s="59"/>
      <x:c r="F49" s="59"/>
      <x:c r="G49" s="46" t="n">
        <x:v>15</x:v>
      </x:c>
      <x:c r="H49" s="62" t="n">
        <x:f>M103</x:f>
        <x:v>99</x:v>
      </x:c>
      <x:c r="I49" s="64" t="n">
        <x:f>P103</x:f>
        <x:v>3</x:v>
      </x:c>
      <x:c r="J49" s="64" t="n">
        <x:f>Q103</x:f>
        <x:v>218.54999999999995</x:v>
      </x:c>
      <x:c r="K49" s="7"/>
      <x:c r="L49" s="1"/>
      <x:c r="M49" s="93" t="n">
        <x:v>45</x:v>
      </x:c>
      <x:c r="N49" s="93" t="n">
        <x:f>INT((M49-1)/7)+1</x:f>
        <x:v>7</x:v>
      </x:c>
      <x:c r="O49" s="93" t="str">
        <x:v>EXTRA I</x:v>
      </x:c>
      <x:c r="P49" s="58" t="n">
        <x:v>2.1</x:v>
      </x:c>
      <x:c r="Q49" s="58" t="n">
        <x:f>SUM($P$5:P49)</x:f>
        <x:v>74.54999999999998</x:v>
      </x:c>
      <x:c r="R49" s="94"/>
      <x:c r="S49" s="1"/>
      <x:c r="T49" s="1"/>
      <x:c r="U49" s="1"/>
      <x:c r="V49" s="1"/>
    </x:row>
    <x:row r="50" ht="20" customHeight="1">
      <x:c r="A50" s="46"/>
      <x:c r="B50" s="62" t="n">
        <x:f>M48</x:f>
        <x:v>44</x:v>
      </x:c>
      <x:c r="C50" s="64" t="n">
        <x:f>P48</x:f>
        <x:v>2.1</x:v>
      </x:c>
      <x:c r="D50" s="64" t="n">
        <x:f>Q48</x:f>
        <x:v>72.44999999999999</x:v>
      </x:c>
      <x:c r="E50" s="59"/>
      <x:c r="F50" s="59"/>
      <x:c r="G50" s="46"/>
      <x:c r="H50" s="62" t="n">
        <x:f>M104</x:f>
        <x:v>100</x:v>
      </x:c>
      <x:c r="I50" s="64" t="n">
        <x:f>P104</x:f>
        <x:v>3.1</x:v>
      </x:c>
      <x:c r="J50" s="64" t="n">
        <x:f>Q104</x:f>
        <x:v>221.64999999999995</x:v>
      </x:c>
      <x:c r="K50" s="7"/>
      <x:c r="L50" s="1"/>
      <x:c r="M50" s="93" t="n">
        <x:v>46</x:v>
      </x:c>
      <x:c r="N50" s="93" t="n">
        <x:f>INT((M50-1)/7)+1</x:f>
        <x:v>7</x:v>
      </x:c>
      <x:c r="O50" s="93" t="str">
        <x:v>EXTRA I</x:v>
      </x:c>
      <x:c r="P50" s="58" t="n">
        <x:v>2.15</x:v>
      </x:c>
      <x:c r="Q50" s="58" t="n">
        <x:f>SUM($P$5:P50)</x:f>
        <x:v>76.69999999999999</x:v>
      </x:c>
      <x:c r="R50" s="94"/>
      <x:c r="S50" s="1"/>
      <x:c r="T50" s="1"/>
      <x:c r="U50" s="1"/>
      <x:c r="V50" s="1"/>
    </x:row>
    <x:row r="51" ht="20" customHeight="1">
      <x:c r="A51" s="46"/>
      <x:c r="B51" s="62" t="n">
        <x:f>M49</x:f>
        <x:v>45</x:v>
      </x:c>
      <x:c r="C51" s="64" t="n">
        <x:f>P49</x:f>
        <x:v>2.1</x:v>
      </x:c>
      <x:c r="D51" s="64" t="n">
        <x:f>Q49</x:f>
        <x:v>74.54999999999998</x:v>
      </x:c>
      <x:c r="E51" s="59"/>
      <x:c r="F51" s="59"/>
      <x:c r="G51" s="46"/>
      <x:c r="H51" s="62" t="n">
        <x:f>M105</x:f>
        <x:v>101</x:v>
      </x:c>
      <x:c r="I51" s="64" t="n">
        <x:f>P105</x:f>
        <x:v>3.1</x:v>
      </x:c>
      <x:c r="J51" s="64" t="n">
        <x:f>Q105</x:f>
        <x:v>224.74999999999994</x:v>
      </x:c>
      <x:c r="K51" s="7"/>
      <x:c r="L51" s="1"/>
      <x:c r="M51" s="93" t="n">
        <x:v>47</x:v>
      </x:c>
      <x:c r="N51" s="93" t="n">
        <x:f>INT((M51-1)/7)+1</x:f>
        <x:v>7</x:v>
      </x:c>
      <x:c r="O51" s="93" t="str">
        <x:v>TERM I</x:v>
      </x:c>
      <x:c r="P51" s="58" t="n">
        <x:v>2.15</x:v>
      </x:c>
      <x:c r="Q51" s="58" t="n">
        <x:f>SUM($P$5:P51)</x:f>
        <x:v>78.85</x:v>
      </x:c>
      <x:c r="R51" s="94"/>
      <x:c r="S51" s="1"/>
      <x:c r="T51" s="1"/>
      <x:c r="U51" s="1"/>
      <x:c r="V51" s="1"/>
    </x:row>
    <x:row r="52" ht="20" customHeight="1">
      <x:c r="A52" s="46"/>
      <x:c r="B52" s="62" t="n">
        <x:f>M50</x:f>
        <x:v>46</x:v>
      </x:c>
      <x:c r="C52" s="64" t="n">
        <x:f>P50</x:f>
        <x:v>2.15</x:v>
      </x:c>
      <x:c r="D52" s="64" t="n">
        <x:f>Q50</x:f>
        <x:v>76.69999999999999</x:v>
      </x:c>
      <x:c r="E52" s="70" t="n">
        <x:f>'Resumo das Fases'!H7</x:f>
        <x:v>23.849999999999987</x:v>
      </x:c>
      <x:c r="F52" s="59"/>
      <x:c r="G52" s="46"/>
      <x:c r="H52" s="62" t="n">
        <x:f>M106</x:f>
        <x:v>102</x:v>
      </x:c>
      <x:c r="I52" s="64" t="n">
        <x:f>P106</x:f>
        <x:v>3.1</x:v>
      </x:c>
      <x:c r="J52" s="64" t="n">
        <x:f>Q106</x:f>
        <x:v>227.84999999999994</x:v>
      </x:c>
      <x:c r="K52" s="7"/>
      <x:c r="L52" s="1"/>
      <x:c r="M52" s="93" t="n">
        <x:v>48</x:v>
      </x:c>
      <x:c r="N52" s="93" t="n">
        <x:f>INT((M52-1)/7)+1</x:f>
        <x:v>7</x:v>
      </x:c>
      <x:c r="O52" s="93" t="str">
        <x:v>TERM I</x:v>
      </x:c>
      <x:c r="P52" s="58" t="n">
        <x:v>2.15</x:v>
      </x:c>
      <x:c r="Q52" s="58" t="n">
        <x:f>SUM($P$5:P52)</x:f>
        <x:v>81</x:v>
      </x:c>
      <x:c r="R52" s="94"/>
      <x:c r="S52" s="1"/>
      <x:c r="T52" s="1"/>
      <x:c r="U52" s="1"/>
      <x:c r="V52" s="1"/>
    </x:row>
    <x:row r="53" ht="20" customHeight="1">
      <x:c r="A53" s="46"/>
      <x:c r="B53" s="62" t="n">
        <x:f>M51</x:f>
        <x:v>47</x:v>
      </x:c>
      <x:c r="C53" s="64" t="n">
        <x:f>P51</x:f>
        <x:v>2.15</x:v>
      </x:c>
      <x:c r="D53" s="64" t="n">
        <x:f>Q51</x:f>
        <x:v>78.85</x:v>
      </x:c>
      <x:c r="E53" s="59"/>
      <x:c r="F53" s="59"/>
      <x:c r="G53" s="46"/>
      <x:c r="H53" s="62" t="n">
        <x:f>M107</x:f>
        <x:v>103</x:v>
      </x:c>
      <x:c r="I53" s="64" t="n">
        <x:f>P107</x:f>
        <x:v>3.1</x:v>
      </x:c>
      <x:c r="J53" s="64" t="n">
        <x:f>Q107</x:f>
        <x:v>230.94999999999993</x:v>
      </x:c>
      <x:c r="K53" s="7"/>
      <x:c r="L53" s="1"/>
      <x:c r="M53" s="93" t="n">
        <x:v>49</x:v>
      </x:c>
      <x:c r="N53" s="93" t="n">
        <x:f>INT((M53-1)/7)+1</x:f>
        <x:v>7</x:v>
      </x:c>
      <x:c r="O53" s="93" t="str">
        <x:v>TERM I</x:v>
      </x:c>
      <x:c r="P53" s="58" t="n">
        <x:v>2.2</x:v>
      </x:c>
      <x:c r="Q53" s="58" t="n">
        <x:f>SUM($P$5:P53)</x:f>
        <x:v>83.2</x:v>
      </x:c>
      <x:c r="R53" s="94"/>
      <x:c r="S53" s="1"/>
      <x:c r="T53" s="1"/>
      <x:c r="U53" s="1"/>
      <x:c r="V53" s="1"/>
    </x:row>
    <x:row r="54" ht="20" customHeight="1">
      <x:c r="A54" s="46"/>
      <x:c r="B54" s="62" t="n">
        <x:f>M52</x:f>
        <x:v>48</x:v>
      </x:c>
      <x:c r="C54" s="64" t="n">
        <x:f>P52</x:f>
        <x:v>2.15</x:v>
      </x:c>
      <x:c r="D54" s="64" t="n">
        <x:f>Q52</x:f>
        <x:v>81</x:v>
      </x:c>
      <x:c r="E54" s="59"/>
      <x:c r="F54" s="59"/>
      <x:c r="G54" s="46"/>
      <x:c r="H54" s="62" t="n">
        <x:f>M108</x:f>
        <x:v>104</x:v>
      </x:c>
      <x:c r="I54" s="64" t="n">
        <x:f>P108</x:f>
        <x:v>3.1</x:v>
      </x:c>
      <x:c r="J54" s="64" t="n">
        <x:f>Q108</x:f>
        <x:v>234.04999999999993</x:v>
      </x:c>
      <x:c r="K54" s="7"/>
      <x:c r="L54" s="1"/>
      <x:c r="M54" s="93" t="n">
        <x:v>50</x:v>
      </x:c>
      <x:c r="N54" s="93" t="n">
        <x:f>INT((M54-1)/7)+1</x:f>
        <x:v>8</x:v>
      </x:c>
      <x:c r="O54" s="93" t="str">
        <x:v>TERM I</x:v>
      </x:c>
      <x:c r="P54" s="58" t="n">
        <x:v>2.2</x:v>
      </x:c>
      <x:c r="Q54" s="58" t="n">
        <x:f>SUM($P$5:P54)</x:f>
        <x:v>85.4</x:v>
      </x:c>
      <x:c r="R54" s="94"/>
      <x:c r="S54" s="1"/>
      <x:c r="T54" s="1"/>
      <x:c r="U54" s="1"/>
      <x:c r="V54" s="1"/>
    </x:row>
    <x:row r="55" ht="20" customHeight="1">
      <x:c r="A55" s="46"/>
      <x:c r="B55" s="62" t="n">
        <x:f>M53</x:f>
        <x:v>49</x:v>
      </x:c>
      <x:c r="C55" s="64" t="n">
        <x:f>P53</x:f>
        <x:v>2.2</x:v>
      </x:c>
      <x:c r="D55" s="64" t="n">
        <x:f>Q53</x:f>
        <x:v>83.2</x:v>
      </x:c>
      <x:c r="E55" s="59"/>
      <x:c r="F55" s="59"/>
      <x:c r="G55" s="46"/>
      <x:c r="H55" s="62" t="n">
        <x:f>M109</x:f>
        <x:v>105</x:v>
      </x:c>
      <x:c r="I55" s="64" t="n">
        <x:f>P109</x:f>
        <x:v>3.1</x:v>
      </x:c>
      <x:c r="J55" s="64" t="n">
        <x:f>Q109</x:f>
        <x:v>237.14999999999992</x:v>
      </x:c>
      <x:c r="K55" s="70" t="n">
        <x:f>'Resumo das Fases'!H10</x:f>
        <x:v>80.0499999999999</x:v>
      </x:c>
      <x:c r="L55" s="1"/>
      <x:c r="M55" s="93" t="n">
        <x:v>51</x:v>
      </x:c>
      <x:c r="N55" s="93" t="n">
        <x:f>INT((M55-1)/7)+1</x:f>
        <x:v>8</x:v>
      </x:c>
      <x:c r="O55" s="93" t="str">
        <x:v>TERM I</x:v>
      </x:c>
      <x:c r="P55" s="58" t="n">
        <x:v>2.25</x:v>
      </x:c>
      <x:c r="Q55" s="58" t="n">
        <x:f>SUM($P$5:P55)</x:f>
        <x:v>87.65</x:v>
      </x:c>
      <x:c r="R55" s="94"/>
      <x:c r="S55" s="1"/>
      <x:c r="T55" s="1"/>
      <x:c r="U55" s="1"/>
      <x:c r="V55" s="1"/>
    </x:row>
    <x:row r="56" ht="20" customHeight="1">
      <x:c r="A56" s="52" t="n">
        <x:v>8</x:v>
      </x:c>
      <x:c r="B56" s="63" t="n">
        <x:f>M54</x:f>
        <x:v>50</x:v>
      </x:c>
      <x:c r="C56" s="65" t="n">
        <x:f>P54</x:f>
        <x:v>2.2</x:v>
      </x:c>
      <x:c r="D56" s="65" t="n">
        <x:f>Q54</x:f>
        <x:v>85.4</x:v>
      </x:c>
      <x:c r="E56" s="59"/>
      <x:c r="F56" s="59"/>
      <x:c r="G56" s="52" t="n">
        <x:v>16</x:v>
      </x:c>
      <x:c r="H56" s="63" t="n">
        <x:f>M110</x:f>
        <x:v>106</x:v>
      </x:c>
      <x:c r="I56" s="65" t="n">
        <x:f>P110</x:f>
        <x:v>3.15</x:v>
      </x:c>
      <x:c r="J56" s="65" t="n">
        <x:f>Q110</x:f>
        <x:v>240.29999999999993</x:v>
      </x:c>
      <x:c r="K56" s="7"/>
      <x:c r="L56" s="1"/>
      <x:c r="M56" s="93" t="n">
        <x:v>52</x:v>
      </x:c>
      <x:c r="N56" s="93" t="n">
        <x:f>INT((M56-1)/7)+1</x:f>
        <x:v>8</x:v>
      </x:c>
      <x:c r="O56" s="93" t="str">
        <x:v>TERM I</x:v>
      </x:c>
      <x:c r="P56" s="58" t="n">
        <x:v>2.25</x:v>
      </x:c>
      <x:c r="Q56" s="58" t="n">
        <x:f>SUM($P$5:P56)</x:f>
        <x:v>89.9</x:v>
      </x:c>
      <x:c r="R56" s="94"/>
      <x:c r="S56" s="1"/>
      <x:c r="T56" s="1"/>
      <x:c r="U56" s="1"/>
      <x:c r="V56" s="1"/>
    </x:row>
    <x:row r="57" ht="20" customHeight="1">
      <x:c r="A57" s="52"/>
      <x:c r="B57" s="63" t="n">
        <x:f>M55</x:f>
        <x:v>51</x:v>
      </x:c>
      <x:c r="C57" s="65" t="n">
        <x:f>P55</x:f>
        <x:v>2.25</x:v>
      </x:c>
      <x:c r="D57" s="65" t="n">
        <x:f>Q55</x:f>
        <x:v>87.65</x:v>
      </x:c>
      <x:c r="E57" s="59"/>
      <x:c r="F57" s="59"/>
      <x:c r="G57" s="52"/>
      <x:c r="H57" s="63" t="n">
        <x:f>M111</x:f>
        <x:v>107</x:v>
      </x:c>
      <x:c r="I57" s="65" t="n">
        <x:f>P111</x:f>
        <x:v>3.15</x:v>
      </x:c>
      <x:c r="J57" s="65" t="n">
        <x:f>Q111</x:f>
        <x:v>243.44999999999993</x:v>
      </x:c>
      <x:c r="K57" s="7"/>
      <x:c r="L57" s="1"/>
      <x:c r="M57" s="93" t="n">
        <x:v>53</x:v>
      </x:c>
      <x:c r="N57" s="93" t="n">
        <x:f>INT((M57-1)/7)+1</x:f>
        <x:v>8</x:v>
      </x:c>
      <x:c r="O57" s="93" t="str">
        <x:v>TERM I</x:v>
      </x:c>
      <x:c r="P57" s="58" t="n">
        <x:v>2.3</x:v>
      </x:c>
      <x:c r="Q57" s="58" t="n">
        <x:f>SUM($P$5:P57)</x:f>
        <x:v>92.2</x:v>
      </x:c>
      <x:c r="R57" s="94"/>
      <x:c r="S57" s="1"/>
      <x:c r="T57" s="1"/>
      <x:c r="U57" s="1"/>
      <x:c r="V57" s="1"/>
    </x:row>
    <x:row r="58" ht="20" customHeight="1">
      <x:c r="A58" s="52"/>
      <x:c r="B58" s="63" t="n">
        <x:f>M56</x:f>
        <x:v>52</x:v>
      </x:c>
      <x:c r="C58" s="65" t="n">
        <x:f>P56</x:f>
        <x:v>2.25</x:v>
      </x:c>
      <x:c r="D58" s="65" t="n">
        <x:f>Q56</x:f>
        <x:v>89.9</x:v>
      </x:c>
      <x:c r="E58" s="59"/>
      <x:c r="F58" s="59"/>
      <x:c r="G58" s="52"/>
      <x:c r="H58" s="63" t="n">
        <x:f>M112</x:f>
        <x:v>108</x:v>
      </x:c>
      <x:c r="I58" s="65" t="n">
        <x:f>P112</x:f>
        <x:v>3.15</x:v>
      </x:c>
      <x:c r="J58" s="65" t="n">
        <x:f>Q112</x:f>
        <x:v>246.59999999999994</x:v>
      </x:c>
      <x:c r="K58" s="7"/>
      <x:c r="L58" s="1"/>
      <x:c r="M58" s="93" t="n">
        <x:v>54</x:v>
      </x:c>
      <x:c r="N58" s="93" t="n">
        <x:f>INT((M58-1)/7)+1</x:f>
        <x:v>8</x:v>
      </x:c>
      <x:c r="O58" s="93" t="str">
        <x:v>TERM I</x:v>
      </x:c>
      <x:c r="P58" s="58" t="n">
        <x:v>2.3</x:v>
      </x:c>
      <x:c r="Q58" s="58" t="n">
        <x:f>SUM($P$5:P58)</x:f>
        <x:v>94.5</x:v>
      </x:c>
      <x:c r="R58" s="94"/>
      <x:c r="S58" s="1"/>
      <x:c r="T58" s="1"/>
      <x:c r="U58" s="1"/>
      <x:c r="V58" s="1"/>
    </x:row>
    <x:row r="59" ht="20" customHeight="1">
      <x:c r="A59" s="52"/>
      <x:c r="B59" s="63" t="n">
        <x:f>M57</x:f>
        <x:v>53</x:v>
      </x:c>
      <x:c r="C59" s="65" t="n">
        <x:f>P57</x:f>
        <x:v>2.3</x:v>
      </x:c>
      <x:c r="D59" s="65" t="n">
        <x:f>Q57</x:f>
        <x:v>92.2</x:v>
      </x:c>
      <x:c r="E59" s="59"/>
      <x:c r="F59" s="59"/>
      <x:c r="G59" s="52"/>
      <x:c r="H59" s="63" t="n">
        <x:f>M113</x:f>
        <x:v>109</x:v>
      </x:c>
      <x:c r="I59" s="65" t="n">
        <x:f>P113</x:f>
        <x:v>3.15</x:v>
      </x:c>
      <x:c r="J59" s="65" t="n">
        <x:f>Q113</x:f>
        <x:v>249.74999999999994</x:v>
      </x:c>
      <x:c r="K59" s="7"/>
      <x:c r="L59" s="1"/>
      <x:c r="M59" s="93" t="n">
        <x:v>55</x:v>
      </x:c>
      <x:c r="N59" s="93" t="n">
        <x:f>INT((M59-1)/7)+1</x:f>
        <x:v>8</x:v>
      </x:c>
      <x:c r="O59" s="93" t="str">
        <x:v>TERM I</x:v>
      </x:c>
      <x:c r="P59" s="58" t="n">
        <x:v>2.35</x:v>
      </x:c>
      <x:c r="Q59" s="58" t="n">
        <x:f>SUM($P$5:P59)</x:f>
        <x:v>96.85</x:v>
      </x:c>
      <x:c r="R59" s="94"/>
      <x:c r="S59" s="1"/>
      <x:c r="T59" s="1"/>
      <x:c r="U59" s="1"/>
      <x:c r="V59" s="1"/>
    </x:row>
    <x:row r="60" ht="20" customHeight="1">
      <x:c r="A60" s="52"/>
      <x:c r="B60" s="63" t="n">
        <x:f>M58</x:f>
        <x:v>54</x:v>
      </x:c>
      <x:c r="C60" s="65" t="n">
        <x:f>P58</x:f>
        <x:v>2.3</x:v>
      </x:c>
      <x:c r="D60" s="65" t="n">
        <x:f>Q58</x:f>
        <x:v>94.5</x:v>
      </x:c>
      <x:c r="E60" s="59"/>
      <x:c r="F60" s="59"/>
      <x:c r="G60" s="52"/>
      <x:c r="H60" s="63" t="n">
        <x:f>M114</x:f>
        <x:v>110</x:v>
      </x:c>
      <x:c r="I60" s="65" t="n">
        <x:f>P114</x:f>
        <x:v>3.15</x:v>
      </x:c>
      <x:c r="J60" s="65" t="n">
        <x:f>Q114</x:f>
        <x:v>252.89999999999995</x:v>
      </x:c>
      <x:c r="K60" s="7"/>
      <x:c r="L60" s="1"/>
      <x:c r="M60" s="93" t="n">
        <x:v>56</x:v>
      </x:c>
      <x:c r="N60" s="93" t="n">
        <x:f>INT((M60-1)/7)+1</x:f>
        <x:v>8</x:v>
      </x:c>
      <x:c r="O60" s="93" t="str">
        <x:v>TERM I</x:v>
      </x:c>
      <x:c r="P60" s="58" t="n">
        <x:v>2.35</x:v>
      </x:c>
      <x:c r="Q60" s="58" t="n">
        <x:f>SUM($P$5:P60)</x:f>
        <x:v>99.19999999999999</x:v>
      </x:c>
      <x:c r="R60" s="94"/>
      <x:c r="S60" s="1"/>
      <x:c r="T60" s="1"/>
      <x:c r="U60" s="1"/>
      <x:c r="V60" s="1"/>
    </x:row>
    <x:row r="61" ht="20" customHeight="1">
      <x:c r="A61" s="52"/>
      <x:c r="B61" s="63" t="n">
        <x:f>M59</x:f>
        <x:v>55</x:v>
      </x:c>
      <x:c r="C61" s="65" t="n">
        <x:f>P59</x:f>
        <x:v>2.35</x:v>
      </x:c>
      <x:c r="D61" s="65" t="n">
        <x:f>Q59</x:f>
        <x:v>96.85</x:v>
      </x:c>
      <x:c r="E61" s="59"/>
      <x:c r="F61" s="59"/>
      <x:c r="G61" s="52"/>
      <x:c r="H61" s="63" t="n">
        <x:f>M115</x:f>
        <x:v>111</x:v>
      </x:c>
      <x:c r="I61" s="65" t="n">
        <x:f>P115</x:f>
        <x:v>3.15</x:v>
      </x:c>
      <x:c r="J61" s="65" t="n">
        <x:f>Q115</x:f>
        <x:v>256.04999999999995</x:v>
      </x:c>
      <x:c r="K61" s="7"/>
      <x:c r="L61" s="1"/>
      <x:c r="M61" s="93" t="n">
        <x:v>57</x:v>
      </x:c>
      <x:c r="N61" s="93" t="n">
        <x:f>INT((M61-1)/7)+1</x:f>
        <x:v>9</x:v>
      </x:c>
      <x:c r="O61" s="93" t="str">
        <x:v>TERM I</x:v>
      </x:c>
      <x:c r="P61" s="58" t="n">
        <x:v>2.4</x:v>
      </x:c>
      <x:c r="Q61" s="58" t="n">
        <x:f>SUM($P$5:P61)</x:f>
        <x:v>101.6</x:v>
      </x:c>
      <x:c r="R61" s="94"/>
      <x:c r="S61" s="1"/>
      <x:c r="T61" s="1"/>
      <x:c r="U61" s="1"/>
      <x:c r="V61" s="1"/>
    </x:row>
    <x:row r="62" ht="20" customHeight="1">
      <x:c r="A62" s="52"/>
      <x:c r="B62" s="63" t="n">
        <x:f>M60</x:f>
        <x:v>56</x:v>
      </x:c>
      <x:c r="C62" s="65" t="n">
        <x:f>P60</x:f>
        <x:v>2.35</x:v>
      </x:c>
      <x:c r="D62" s="65" t="n">
        <x:f>Q60</x:f>
        <x:v>99.19999999999999</x:v>
      </x:c>
      <x:c r="E62" s="59"/>
      <x:c r="F62" s="59"/>
      <x:c r="G62" s="52"/>
      <x:c r="H62" s="63" t="n">
        <x:f>M116</x:f>
        <x:v>112</x:v>
      </x:c>
      <x:c r="I62" s="65" t="n">
        <x:f>P116</x:f>
        <x:v>3.15</x:v>
      </x:c>
      <x:c r="J62" s="65" t="n">
        <x:f>Q116</x:f>
        <x:v>259.19999999999993</x:v>
      </x:c>
      <x:c r="K62" s="7"/>
      <x:c r="L62" s="1"/>
      <x:c r="M62" s="93" t="n">
        <x:v>58</x:v>
      </x:c>
      <x:c r="N62" s="93" t="n">
        <x:f>INT((M62-1)/7)+1</x:f>
        <x:v>9</x:v>
      </x:c>
      <x:c r="O62" s="93" t="str">
        <x:v>TERM I</x:v>
      </x:c>
      <x:c r="P62" s="58" t="n">
        <x:v>2.4</x:v>
      </x:c>
      <x:c r="Q62" s="58" t="n">
        <x:f>SUM($P$5:P62)</x:f>
        <x:v>104</x:v>
      </x:c>
      <x:c r="R62" s="94"/>
      <x:c r="S62" s="1"/>
      <x:c r="T62" s="1"/>
      <x:c r="U62" s="1"/>
      <x:c r="V62" s="1"/>
    </x:row>
    <x:row r="63">
      <x:c r="A63" s="6"/>
      <x:c r="B63" s="2"/>
      <x:c r="C63" s="2"/>
      <x:c r="D63" s="2"/>
      <x:c r="E63" s="2"/>
      <x:c r="F63" s="2"/>
      <x:c r="G63" s="2"/>
      <x:c r="H63" s="2"/>
      <x:c r="I63" s="2"/>
      <x:c r="J63" s="2"/>
      <x:c r="K63" s="7"/>
      <x:c r="L63" s="1"/>
      <x:c r="M63" s="93" t="n">
        <x:v>59</x:v>
      </x:c>
      <x:c r="N63" s="93" t="n">
        <x:f>INT((M63-1)/7)+1</x:f>
        <x:v>9</x:v>
      </x:c>
      <x:c r="O63" s="93" t="str">
        <x:v>TERM I</x:v>
      </x:c>
      <x:c r="P63" s="58" t="n">
        <x:v>2.45</x:v>
      </x:c>
      <x:c r="Q63" s="58" t="n">
        <x:f>SUM($P$5:P63)</x:f>
        <x:v>106.45</x:v>
      </x:c>
      <x:c r="R63" s="94"/>
      <x:c r="S63" s="1"/>
      <x:c r="T63" s="1"/>
      <x:c r="U63" s="1"/>
      <x:c r="V63" s="1"/>
    </x:row>
    <x:row r="64">
      <x:c r="A64" s="6"/>
      <x:c r="B64" s="2"/>
      <x:c r="C64" s="2"/>
      <x:c r="D64" s="2"/>
      <x:c r="E64" s="2"/>
      <x:c r="F64" s="2"/>
      <x:c r="G64" s="2"/>
      <x:c r="H64" s="2"/>
      <x:c r="I64" s="2"/>
      <x:c r="J64" s="2"/>
      <x:c r="K64" s="7"/>
      <x:c r="L64" s="1"/>
      <x:c r="M64" s="93" t="n">
        <x:v>60</x:v>
      </x:c>
      <x:c r="N64" s="93" t="n">
        <x:f>INT((M64-1)/7)+1</x:f>
        <x:v>9</x:v>
      </x:c>
      <x:c r="O64" s="93" t="str">
        <x:v>TERM I</x:v>
      </x:c>
      <x:c r="P64" s="58" t="n">
        <x:v>2.45</x:v>
      </x:c>
      <x:c r="Q64" s="58" t="n">
        <x:f>SUM($P$5:P64)</x:f>
        <x:v>108.9</x:v>
      </x:c>
      <x:c r="R64" s="94"/>
      <x:c r="S64" s="1"/>
      <x:c r="T64" s="1"/>
      <x:c r="U64" s="1"/>
      <x:c r="V64" s="1"/>
    </x:row>
    <x:row r="65" ht="22" customHeight="1">
      <x:c r="A65" s="80" t="str">
        <x:v>FASE</x:v>
      </x:c>
      <x:c r="B65" s="81" t="str">
        <x:v>INÍCIO</x:v>
      </x:c>
      <x:c r="C65" s="81" t="str">
        <x:v>KG/ANIMAL</x:v>
      </x:c>
      <x:c r="D65" s="2"/>
      <x:c r="E65" s="2"/>
      <x:c r="F65" s="2"/>
      <x:c r="G65" s="2"/>
      <x:c r="H65" s="2"/>
      <x:c r="I65" s="2"/>
      <x:c r="J65" s="2"/>
      <x:c r="K65" s="7"/>
      <x:c r="L65" s="1"/>
      <x:c r="M65" s="93" t="n">
        <x:v>61</x:v>
      </x:c>
      <x:c r="N65" s="93" t="n">
        <x:f>INT((M65-1)/7)+1</x:f>
        <x:v>9</x:v>
      </x:c>
      <x:c r="O65" s="93" t="str">
        <x:v>TERM I</x:v>
      </x:c>
      <x:c r="P65" s="58" t="n">
        <x:v>2.5</x:v>
      </x:c>
      <x:c r="Q65" s="58" t="n">
        <x:f>SUM($P$5:P65)</x:f>
        <x:v>111.4</x:v>
      </x:c>
      <x:c r="R65" s="94"/>
      <x:c r="S65" s="1"/>
      <x:c r="T65" s="1"/>
      <x:c r="U65" s="1"/>
      <x:c r="V65" s="1"/>
    </x:row>
    <x:row r="66" ht="22" customHeight="1">
      <x:c r="A66" s="43" t="str">
        <x:v>ALOJAM</x:v>
      </x:c>
      <x:c r="B66" s="43" t="n">
        <x:v>1</x:v>
      </x:c>
      <x:c r="C66" s="55" t="n">
        <x:f>'Resumo das Fases'!H5</x:f>
        <x:v>16.349999999999998</x:v>
      </x:c>
      <x:c r="D66" s="2"/>
      <x:c r="E66" s="2"/>
      <x:c r="F66" s="2"/>
      <x:c r="G66" s="2"/>
      <x:c r="H66" s="2"/>
      <x:c r="I66" s="2"/>
      <x:c r="J66" s="2"/>
      <x:c r="K66" s="7"/>
      <x:c r="L66" s="1"/>
      <x:c r="M66" s="93" t="n">
        <x:v>62</x:v>
      </x:c>
      <x:c r="N66" s="93" t="n">
        <x:f>INT((M66-1)/7)+1</x:f>
        <x:v>9</x:v>
      </x:c>
      <x:c r="O66" s="93" t="str">
        <x:v>TERM I</x:v>
      </x:c>
      <x:c r="P66" s="58" t="n">
        <x:v>2.5</x:v>
      </x:c>
      <x:c r="Q66" s="58" t="n">
        <x:f>SUM($P$5:P66)</x:f>
        <x:v>113.9</x:v>
      </x:c>
      <x:c r="R66" s="94"/>
      <x:c r="S66" s="1"/>
      <x:c r="T66" s="1"/>
      <x:c r="U66" s="1"/>
      <x:c r="V66" s="1"/>
    </x:row>
    <x:row r="67" ht="22" customHeight="1">
      <x:c r="A67" s="43" t="str">
        <x:v>CRESC</x:v>
      </x:c>
      <x:c r="B67" s="43" t="n">
        <x:v>13</x:v>
      </x:c>
      <x:c r="C67" s="55" t="n">
        <x:f>'Resumo das Fases'!H6</x:f>
        <x:v>36.5</x:v>
      </x:c>
      <x:c r="D67" s="2"/>
      <x:c r="E67" s="2"/>
      <x:c r="F67" s="2"/>
      <x:c r="G67" s="2"/>
      <x:c r="H67" s="2"/>
      <x:c r="I67" s="2"/>
      <x:c r="J67" s="2"/>
      <x:c r="K67" s="7"/>
      <x:c r="L67" s="1"/>
      <x:c r="M67" s="93" t="n">
        <x:v>63</x:v>
      </x:c>
      <x:c r="N67" s="93" t="n">
        <x:f>INT((M67-1)/7)+1</x:f>
        <x:v>9</x:v>
      </x:c>
      <x:c r="O67" s="93" t="str">
        <x:v>TERM I</x:v>
      </x:c>
      <x:c r="P67" s="58" t="n">
        <x:v>2.55</x:v>
      </x:c>
      <x:c r="Q67" s="58" t="n">
        <x:f>SUM($P$5:P67)</x:f>
        <x:v>116.45</x:v>
      </x:c>
      <x:c r="R67" s="94"/>
      <x:c r="S67" s="1"/>
      <x:c r="T67" s="1"/>
      <x:c r="U67" s="1"/>
      <x:c r="V67" s="1"/>
    </x:row>
    <x:row r="68" ht="22" customHeight="1">
      <x:c r="A68" s="43" t="str">
        <x:v>EXTRA I</x:v>
      </x:c>
      <x:c r="B68" s="43" t="n">
        <x:v>35</x:v>
      </x:c>
      <x:c r="C68" s="55" t="n">
        <x:f>'Resumo das Fases'!H7</x:f>
        <x:v>23.849999999999987</x:v>
      </x:c>
      <x:c r="D68" s="2"/>
      <x:c r="E68" s="2"/>
      <x:c r="F68" s="2"/>
      <x:c r="G68" s="2"/>
      <x:c r="H68" s="2"/>
      <x:c r="I68" s="2"/>
      <x:c r="J68" s="2"/>
      <x:c r="K68" s="7"/>
      <x:c r="L68" s="1"/>
      <x:c r="M68" s="93" t="n">
        <x:v>64</x:v>
      </x:c>
      <x:c r="N68" s="93" t="n">
        <x:f>INT((M68-1)/7)+1</x:f>
        <x:v>10</x:v>
      </x:c>
      <x:c r="O68" s="93" t="str">
        <x:v>TERM I</x:v>
      </x:c>
      <x:c r="P68" s="58" t="n">
        <x:v>2.55</x:v>
      </x:c>
      <x:c r="Q68" s="58" t="n">
        <x:f>SUM($P$5:P68)</x:f>
        <x:v>119</x:v>
      </x:c>
      <x:c r="R68" s="94"/>
      <x:c r="S68" s="1"/>
      <x:c r="T68" s="1"/>
      <x:c r="U68" s="1"/>
      <x:c r="V68" s="1"/>
    </x:row>
    <x:row r="69" ht="22" customHeight="1">
      <x:c r="A69" s="43" t="str">
        <x:v>TERM I</x:v>
      </x:c>
      <x:c r="B69" s="43" t="n">
        <x:v>47</x:v>
      </x:c>
      <x:c r="C69" s="55" t="n">
        <x:f>'Resumo das Fases'!H8</x:f>
        <x:v>47.5</x:v>
      </x:c>
      <x:c r="D69" s="2"/>
      <x:c r="E69" s="2"/>
      <x:c r="F69" s="2"/>
      <x:c r="G69" s="2"/>
      <x:c r="H69" s="2"/>
      <x:c r="I69" s="2"/>
      <x:c r="J69" s="2"/>
      <x:c r="K69" s="7"/>
      <x:c r="L69" s="1"/>
      <x:c r="M69" s="93" t="n">
        <x:v>65</x:v>
      </x:c>
      <x:c r="N69" s="93" t="n">
        <x:f>INT((M69-1)/7)+1</x:f>
        <x:v>10</x:v>
      </x:c>
      <x:c r="O69" s="93" t="str">
        <x:v>TERM I</x:v>
      </x:c>
      <x:c r="P69" s="58" t="n">
        <x:v>2.6</x:v>
      </x:c>
      <x:c r="Q69" s="58" t="n">
        <x:f>SUM($P$5:P69)</x:f>
        <x:v>121.6</x:v>
      </x:c>
      <x:c r="R69" s="94"/>
      <x:c r="S69" s="1"/>
      <x:c r="T69" s="1"/>
      <x:c r="U69" s="1"/>
      <x:c r="V69" s="1"/>
    </x:row>
    <x:row r="70" ht="22" customHeight="1">
      <x:c r="A70" s="43" t="str">
        <x:v>EXTRA II</x:v>
      </x:c>
      <x:c r="B70" s="43" t="n">
        <x:v>67</x:v>
      </x:c>
      <x:c r="C70" s="55" t="n">
        <x:f>'Resumo das Fases'!H9</x:f>
        <x:v>32.900000000000034</x:v>
      </x:c>
      <x:c r="D70" s="2"/>
      <x:c r="E70" s="2"/>
      <x:c r="F70" s="2"/>
      <x:c r="G70" s="2"/>
      <x:c r="H70" s="2"/>
      <x:c r="I70" s="2"/>
      <x:c r="J70" s="2"/>
      <x:c r="K70" s="7"/>
      <x:c r="L70" s="1"/>
      <x:c r="M70" s="93" t="n">
        <x:v>66</x:v>
      </x:c>
      <x:c r="N70" s="93" t="n">
        <x:f>INT((M70-1)/7)+1</x:f>
        <x:v>10</x:v>
      </x:c>
      <x:c r="O70" s="93" t="str">
        <x:v>TERM I</x:v>
      </x:c>
      <x:c r="P70" s="58" t="n">
        <x:v>2.6</x:v>
      </x:c>
      <x:c r="Q70" s="58" t="n">
        <x:f>SUM($P$5:P70)</x:f>
        <x:v>124.19999999999999</x:v>
      </x:c>
      <x:c r="R70" s="94"/>
      <x:c r="S70" s="1"/>
      <x:c r="T70" s="1"/>
      <x:c r="U70" s="1"/>
      <x:c r="V70" s="1"/>
    </x:row>
    <x:row r="71" ht="22" customHeight="1">
      <x:c r="A71" s="43" t="str">
        <x:v>TERM II</x:v>
      </x:c>
      <x:c r="B71" s="43" t="n">
        <x:v>79</x:v>
      </x:c>
      <x:c r="C71" s="55" t="n">
        <x:f>'Resumo das Fases'!H10</x:f>
        <x:v>80.0499999999999</x:v>
      </x:c>
      <x:c r="D71" s="2"/>
      <x:c r="E71" s="2"/>
      <x:c r="F71" s="2"/>
      <x:c r="G71" s="2"/>
      <x:c r="H71" s="2"/>
      <x:c r="I71" s="2"/>
      <x:c r="J71" s="2"/>
      <x:c r="K71" s="7"/>
      <x:c r="L71" s="1"/>
      <x:c r="M71" s="93" t="n">
        <x:v>67</x:v>
      </x:c>
      <x:c r="N71" s="93" t="n">
        <x:f>INT((M71-1)/7)+1</x:f>
        <x:v>10</x:v>
      </x:c>
      <x:c r="O71" s="93" t="str">
        <x:v>EXTRA II</x:v>
      </x:c>
      <x:c r="P71" s="58" t="n">
        <x:v>2.65</x:v>
      </x:c>
      <x:c r="Q71" s="58" t="n">
        <x:f>SUM($P$5:P71)</x:f>
        <x:v>126.85</x:v>
      </x:c>
      <x:c r="R71" s="94"/>
      <x:c r="S71" s="1"/>
      <x:c r="T71" s="1"/>
      <x:c r="U71" s="1"/>
      <x:c r="V71" s="1"/>
    </x:row>
    <x:row r="72" ht="22" customHeight="1">
      <x:c r="A72" s="38" t="str">
        <x:v>TOTAL OFICIAL DAS FASES</x:v>
      </x:c>
      <x:c r="B72" s="39" t="str">
        <x:v>TOTAL OFICIAL DAS FASES</x:v>
      </x:c>
      <x:c r="C72" s="82" t="n">
        <x:f>'Resumo das Fases'!H11</x:f>
        <x:v>237.14999999999992</x:v>
      </x:c>
      <x:c r="D72" s="2"/>
      <x:c r="E72" s="2"/>
      <x:c r="F72" s="2"/>
      <x:c r="G72" s="2"/>
      <x:c r="H72" s="2"/>
      <x:c r="I72" s="2"/>
      <x:c r="J72" s="2"/>
      <x:c r="K72" s="7"/>
      <x:c r="L72" s="1"/>
      <x:c r="M72" s="93" t="n">
        <x:v>68</x:v>
      </x:c>
      <x:c r="N72" s="93" t="n">
        <x:f>INT((M72-1)/7)+1</x:f>
        <x:v>10</x:v>
      </x:c>
      <x:c r="O72" s="93" t="str">
        <x:v>EXTRA II</x:v>
      </x:c>
      <x:c r="P72" s="58" t="n">
        <x:v>2.65</x:v>
      </x:c>
      <x:c r="Q72" s="58" t="n">
        <x:f>SUM($P$5:P72)</x:f>
        <x:v>129.5</x:v>
      </x:c>
      <x:c r="R72" s="94"/>
      <x:c r="S72" s="1"/>
      <x:c r="T72" s="1"/>
      <x:c r="U72" s="1"/>
      <x:c r="V72" s="1"/>
    </x:row>
    <x:row r="73" ht="22" customHeight="1">
      <x:c r="A73" s="8"/>
      <x:c r="B73" s="9"/>
      <x:c r="C73" s="9"/>
      <x:c r="D73" s="9"/>
      <x:c r="E73" s="9"/>
      <x:c r="F73" s="9"/>
      <x:c r="G73" s="9"/>
      <x:c r="H73" s="9"/>
      <x:c r="I73" s="9"/>
      <x:c r="J73" s="9"/>
      <x:c r="K73" s="10"/>
      <x:c r="L73" s="1"/>
      <x:c r="M73" s="93" t="n">
        <x:v>69</x:v>
      </x:c>
      <x:c r="N73" s="93" t="n">
        <x:f>INT((M73-1)/7)+1</x:f>
        <x:v>10</x:v>
      </x:c>
      <x:c r="O73" s="93" t="str">
        <x:v>EXTRA II</x:v>
      </x:c>
      <x:c r="P73" s="58" t="n">
        <x:v>2.7</x:v>
      </x:c>
      <x:c r="Q73" s="58" t="n">
        <x:f>SUM($P$5:P73)</x:f>
        <x:v>132.2</x:v>
      </x:c>
      <x:c r="R73" s="94"/>
      <x:c r="S73" s="1"/>
      <x:c r="T73" s="1"/>
      <x:c r="U73" s="1"/>
      <x:c r="V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93" t="n">
        <x:v>70</x:v>
      </x:c>
      <x:c r="N74" s="93" t="n">
        <x:f>INT((M74-1)/7)+1</x:f>
        <x:v>10</x:v>
      </x:c>
      <x:c r="O74" s="93" t="str">
        <x:v>EXTRA II</x:v>
      </x:c>
      <x:c r="P74" s="58" t="n">
        <x:v>2.7</x:v>
      </x:c>
      <x:c r="Q74" s="58" t="n">
        <x:f>SUM($P$5:P74)</x:f>
        <x:v>134.89999999999998</x:v>
      </x:c>
      <x:c r="R74" s="94"/>
      <x:c r="S74" s="1"/>
      <x:c r="T74" s="1"/>
      <x:c r="U74" s="1"/>
      <x:c r="V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93" t="n">
        <x:v>71</x:v>
      </x:c>
      <x:c r="N75" s="93" t="n">
        <x:f>INT((M75-1)/7)+1</x:f>
        <x:v>11</x:v>
      </x:c>
      <x:c r="O75" s="93" t="str">
        <x:v>EXTRA II</x:v>
      </x:c>
      <x:c r="P75" s="58" t="n">
        <x:v>2.75</x:v>
      </x:c>
      <x:c r="Q75" s="58" t="n">
        <x:f>SUM($P$5:P75)</x:f>
        <x:v>137.64999999999998</x:v>
      </x:c>
      <x:c r="R75" s="94"/>
      <x:c r="S75" s="1"/>
      <x:c r="T75" s="1"/>
      <x:c r="U75" s="1"/>
      <x:c r="V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93" t="n">
        <x:v>72</x:v>
      </x:c>
      <x:c r="N76" s="93" t="n">
        <x:f>INT((M76-1)/7)+1</x:f>
        <x:v>11</x:v>
      </x:c>
      <x:c r="O76" s="93" t="str">
        <x:v>EXTRA II</x:v>
      </x:c>
      <x:c r="P76" s="58" t="n">
        <x:v>2.75</x:v>
      </x:c>
      <x:c r="Q76" s="58" t="n">
        <x:f>SUM($P$5:P76)</x:f>
        <x:v>140.39999999999998</x:v>
      </x:c>
      <x:c r="R76" s="94"/>
      <x:c r="S76" s="1"/>
      <x:c r="T76" s="1"/>
      <x:c r="U76" s="1"/>
      <x:c r="V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93" t="n">
        <x:v>73</x:v>
      </x:c>
      <x:c r="N77" s="93" t="n">
        <x:f>INT((M77-1)/7)+1</x:f>
        <x:v>11</x:v>
      </x:c>
      <x:c r="O77" s="93" t="str">
        <x:v>EXTRA II</x:v>
      </x:c>
      <x:c r="P77" s="58" t="n">
        <x:v>2.75</x:v>
      </x:c>
      <x:c r="Q77" s="58" t="n">
        <x:f>SUM($P$5:P77)</x:f>
        <x:v>143.14999999999998</x:v>
      </x:c>
      <x:c r="R77" s="94"/>
      <x:c r="S77" s="1"/>
      <x:c r="T77" s="1"/>
      <x:c r="U77" s="1"/>
      <x:c r="V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93" t="n">
        <x:v>74</x:v>
      </x:c>
      <x:c r="N78" s="93" t="n">
        <x:f>INT((M78-1)/7)+1</x:f>
        <x:v>11</x:v>
      </x:c>
      <x:c r="O78" s="93" t="str">
        <x:v>EXTRA II</x:v>
      </x:c>
      <x:c r="P78" s="58" t="n">
        <x:v>2.75</x:v>
      </x:c>
      <x:c r="Q78" s="58" t="n">
        <x:f>SUM($P$5:P78)</x:f>
        <x:v>145.89999999999998</x:v>
      </x:c>
      <x:c r="R78" s="94"/>
      <x:c r="S78" s="1"/>
      <x:c r="T78" s="1"/>
      <x:c r="U78" s="1"/>
      <x:c r="V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93" t="n">
        <x:v>75</x:v>
      </x:c>
      <x:c r="N79" s="93" t="n">
        <x:f>INT((M79-1)/7)+1</x:f>
        <x:v>11</x:v>
      </x:c>
      <x:c r="O79" s="93" t="str">
        <x:v>EXTRA II</x:v>
      </x:c>
      <x:c r="P79" s="58" t="n">
        <x:v>2.8</x:v>
      </x:c>
      <x:c r="Q79" s="58" t="n">
        <x:f>SUM($P$5:P79)</x:f>
        <x:v>148.7</x:v>
      </x:c>
      <x:c r="R79" s="94"/>
      <x:c r="S79" s="1"/>
      <x:c r="T79" s="1"/>
      <x:c r="U79" s="1"/>
      <x:c r="V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93" t="n">
        <x:v>76</x:v>
      </x:c>
      <x:c r="N80" s="93" t="n">
        <x:f>INT((M80-1)/7)+1</x:f>
        <x:v>11</x:v>
      </x:c>
      <x:c r="O80" s="93" t="str">
        <x:v>EXTRA II</x:v>
      </x:c>
      <x:c r="P80" s="58" t="n">
        <x:v>2.8</x:v>
      </x:c>
      <x:c r="Q80" s="58" t="n">
        <x:f>SUM($P$5:P80)</x:f>
        <x:v>151.5</x:v>
      </x:c>
      <x:c r="R80" s="94"/>
      <x:c r="S80" s="1"/>
      <x:c r="T80" s="1"/>
      <x:c r="U80" s="1"/>
      <x:c r="V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93" t="n">
        <x:v>77</x:v>
      </x:c>
      <x:c r="N81" s="93" t="n">
        <x:f>INT((M81-1)/7)+1</x:f>
        <x:v>11</x:v>
      </x:c>
      <x:c r="O81" s="93" t="str">
        <x:v>EXTRA II</x:v>
      </x:c>
      <x:c r="P81" s="58" t="n">
        <x:v>2.8</x:v>
      </x:c>
      <x:c r="Q81" s="58" t="n">
        <x:f>SUM($P$5:P81)</x:f>
        <x:v>154.3</x:v>
      </x:c>
      <x:c r="R81" s="94"/>
      <x:c r="S81" s="1"/>
      <x:c r="T81" s="1"/>
      <x:c r="U81" s="1"/>
      <x:c r="V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93" t="n">
        <x:v>78</x:v>
      </x:c>
      <x:c r="N82" s="93" t="n">
        <x:f>INT((M82-1)/7)+1</x:f>
        <x:v>12</x:v>
      </x:c>
      <x:c r="O82" s="93" t="str">
        <x:v>EXTRA II</x:v>
      </x:c>
      <x:c r="P82" s="58" t="n">
        <x:v>2.8</x:v>
      </x:c>
      <x:c r="Q82" s="58" t="n">
        <x:f>SUM($P$5:P82)</x:f>
        <x:v>157.10000000000002</x:v>
      </x:c>
      <x:c r="R82" s="94"/>
      <x:c r="S82" s="1"/>
      <x:c r="T82" s="1"/>
      <x:c r="U82" s="1"/>
      <x:c r="V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93" t="n">
        <x:v>79</x:v>
      </x:c>
      <x:c r="N83" s="93" t="n">
        <x:f>INT((M83-1)/7)+1</x:f>
        <x:v>12</x:v>
      </x:c>
      <x:c r="O83" s="93" t="str">
        <x:v>TERM II</x:v>
      </x:c>
      <x:c r="P83" s="58" t="n">
        <x:v>2.85</x:v>
      </x:c>
      <x:c r="Q83" s="58" t="n">
        <x:f>SUM($P$5:P83)</x:f>
        <x:v>159.95000000000002</x:v>
      </x:c>
      <x:c r="R83" s="94"/>
      <x:c r="S83" s="1"/>
      <x:c r="T83" s="1"/>
      <x:c r="U83" s="1"/>
      <x:c r="V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93" t="n">
        <x:v>80</x:v>
      </x:c>
      <x:c r="N84" s="93" t="n">
        <x:f>INT((M84-1)/7)+1</x:f>
        <x:v>12</x:v>
      </x:c>
      <x:c r="O84" s="93" t="str">
        <x:v>TERM II</x:v>
      </x:c>
      <x:c r="P84" s="58" t="n">
        <x:v>2.85</x:v>
      </x:c>
      <x:c r="Q84" s="58" t="n">
        <x:f>SUM($P$5:P84)</x:f>
        <x:v>162.8</x:v>
      </x:c>
      <x:c r="R84" s="94"/>
      <x:c r="S84" s="1"/>
      <x:c r="T84" s="1"/>
      <x:c r="U84" s="1"/>
      <x:c r="V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93" t="n">
        <x:v>81</x:v>
      </x:c>
      <x:c r="N85" s="93" t="n">
        <x:f>INT((M85-1)/7)+1</x:f>
        <x:v>12</x:v>
      </x:c>
      <x:c r="O85" s="93" t="str">
        <x:v>TERM II</x:v>
      </x:c>
      <x:c r="P85" s="58" t="n">
        <x:v>2.85</x:v>
      </x:c>
      <x:c r="Q85" s="58" t="n">
        <x:f>SUM($P$5:P85)</x:f>
        <x:v>165.65</x:v>
      </x:c>
      <x:c r="R85" s="94"/>
      <x:c r="S85" s="1"/>
      <x:c r="T85" s="1"/>
      <x:c r="U85" s="1"/>
      <x:c r="V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93" t="n">
        <x:v>82</x:v>
      </x:c>
      <x:c r="N86" s="93" t="n">
        <x:f>INT((M86-1)/7)+1</x:f>
        <x:v>12</x:v>
      </x:c>
      <x:c r="O86" s="93" t="str">
        <x:v>TERM II</x:v>
      </x:c>
      <x:c r="P86" s="58" t="n">
        <x:v>2.85</x:v>
      </x:c>
      <x:c r="Q86" s="58" t="n">
        <x:f>SUM($P$5:P86)</x:f>
        <x:v>168.5</x:v>
      </x:c>
      <x:c r="R86" s="94"/>
      <x:c r="S86" s="1"/>
      <x:c r="T86" s="1"/>
      <x:c r="U86" s="1"/>
      <x:c r="V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93" t="n">
        <x:v>83</x:v>
      </x:c>
      <x:c r="N87" s="93" t="n">
        <x:f>INT((M87-1)/7)+1</x:f>
        <x:v>12</x:v>
      </x:c>
      <x:c r="O87" s="93" t="str">
        <x:v>TERM II</x:v>
      </x:c>
      <x:c r="P87" s="58" t="n">
        <x:v>2.85</x:v>
      </x:c>
      <x:c r="Q87" s="58" t="n">
        <x:f>SUM($P$5:P87)</x:f>
        <x:v>171.35</x:v>
      </x:c>
      <x:c r="R87" s="94"/>
      <x:c r="S87" s="1"/>
      <x:c r="T87" s="1"/>
      <x:c r="U87" s="1"/>
      <x:c r="V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93" t="n">
        <x:v>84</x:v>
      </x:c>
      <x:c r="N88" s="93" t="n">
        <x:f>INT((M88-1)/7)+1</x:f>
        <x:v>12</x:v>
      </x:c>
      <x:c r="O88" s="93" t="str">
        <x:v>TERM II</x:v>
      </x:c>
      <x:c r="P88" s="58" t="n">
        <x:v>2.9</x:v>
      </x:c>
      <x:c r="Q88" s="58" t="n">
        <x:f>SUM($P$5:P88)</x:f>
        <x:v>174.25</x:v>
      </x:c>
      <x:c r="R88" s="94"/>
      <x:c r="S88" s="1"/>
      <x:c r="T88" s="1"/>
      <x:c r="U88" s="1"/>
      <x:c r="V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93" t="n">
        <x:v>85</x:v>
      </x:c>
      <x:c r="N89" s="93" t="n">
        <x:f>INT((M89-1)/7)+1</x:f>
        <x:v>13</x:v>
      </x:c>
      <x:c r="O89" s="93" t="str">
        <x:v>TERM II</x:v>
      </x:c>
      <x:c r="P89" s="58" t="n">
        <x:v>2.9</x:v>
      </x:c>
      <x:c r="Q89" s="58" t="n">
        <x:f>SUM($P$5:P89)</x:f>
        <x:v>177.15</x:v>
      </x:c>
      <x:c r="R89" s="94"/>
      <x:c r="S89" s="1"/>
      <x:c r="T89" s="1"/>
      <x:c r="U89" s="1"/>
      <x:c r="V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93" t="n">
        <x:v>86</x:v>
      </x:c>
      <x:c r="N90" s="93" t="n">
        <x:f>INT((M90-1)/7)+1</x:f>
        <x:v>13</x:v>
      </x:c>
      <x:c r="O90" s="93" t="str">
        <x:v>TERM II</x:v>
      </x:c>
      <x:c r="P90" s="58" t="n">
        <x:v>2.9</x:v>
      </x:c>
      <x:c r="Q90" s="58" t="n">
        <x:f>SUM($P$5:P90)</x:f>
        <x:v>180.05</x:v>
      </x:c>
      <x:c r="R90" s="94"/>
      <x:c r="S90" s="1"/>
      <x:c r="T90" s="1"/>
      <x:c r="U90" s="1"/>
      <x:c r="V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93" t="n">
        <x:v>87</x:v>
      </x:c>
      <x:c r="N91" s="93" t="n">
        <x:f>INT((M91-1)/7)+1</x:f>
        <x:v>13</x:v>
      </x:c>
      <x:c r="O91" s="93" t="str">
        <x:v>TERM II</x:v>
      </x:c>
      <x:c r="P91" s="58" t="n">
        <x:v>2.9</x:v>
      </x:c>
      <x:c r="Q91" s="58" t="n">
        <x:f>SUM($P$5:P91)</x:f>
        <x:v>182.95000000000002</x:v>
      </x:c>
      <x:c r="R91" s="94"/>
      <x:c r="S91" s="1"/>
      <x:c r="T91" s="1"/>
      <x:c r="U91" s="1"/>
      <x:c r="V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93" t="n">
        <x:v>88</x:v>
      </x:c>
      <x:c r="N92" s="93" t="n">
        <x:f>INT((M92-1)/7)+1</x:f>
        <x:v>13</x:v>
      </x:c>
      <x:c r="O92" s="93" t="str">
        <x:v>TERM II</x:v>
      </x:c>
      <x:c r="P92" s="58" t="n">
        <x:v>2.9</x:v>
      </x:c>
      <x:c r="Q92" s="58" t="n">
        <x:f>SUM($P$5:P92)</x:f>
        <x:v>185.85000000000002</x:v>
      </x:c>
      <x:c r="R92" s="94"/>
      <x:c r="S92" s="1"/>
      <x:c r="T92" s="1"/>
      <x:c r="U92" s="1"/>
      <x:c r="V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93" t="n">
        <x:v>89</x:v>
      </x:c>
      <x:c r="N93" s="93" t="n">
        <x:f>INT((M93-1)/7)+1</x:f>
        <x:v>13</x:v>
      </x:c>
      <x:c r="O93" s="93" t="str">
        <x:v>TERM II</x:v>
      </x:c>
      <x:c r="P93" s="58" t="n">
        <x:v>2.95</x:v>
      </x:c>
      <x:c r="Q93" s="58" t="n">
        <x:f>SUM($P$5:P93)</x:f>
        <x:v>188.8</x:v>
      </x:c>
      <x:c r="R93" s="94"/>
      <x:c r="S93" s="1"/>
      <x:c r="T93" s="1"/>
      <x:c r="U93" s="1"/>
      <x:c r="V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93" t="n">
        <x:v>90</x:v>
      </x:c>
      <x:c r="N94" s="93" t="n">
        <x:f>INT((M94-1)/7)+1</x:f>
        <x:v>13</x:v>
      </x:c>
      <x:c r="O94" s="93" t="str">
        <x:v>TERM II</x:v>
      </x:c>
      <x:c r="P94" s="58" t="n">
        <x:v>2.95</x:v>
      </x:c>
      <x:c r="Q94" s="58" t="n">
        <x:f>SUM($P$5:P94)</x:f>
        <x:v>191.75</x:v>
      </x:c>
      <x:c r="R94" s="94"/>
      <x:c r="S94" s="1"/>
      <x:c r="T94" s="1"/>
      <x:c r="U94" s="1"/>
      <x:c r="V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93" t="n">
        <x:v>91</x:v>
      </x:c>
      <x:c r="N95" s="93" t="n">
        <x:f>INT((M95-1)/7)+1</x:f>
        <x:v>13</x:v>
      </x:c>
      <x:c r="O95" s="93" t="str">
        <x:v>TERM II</x:v>
      </x:c>
      <x:c r="P95" s="58" t="n">
        <x:v>2.95</x:v>
      </x:c>
      <x:c r="Q95" s="58" t="n">
        <x:f>SUM($P$5:P95)</x:f>
        <x:v>194.7</x:v>
      </x:c>
      <x:c r="R95" s="94"/>
      <x:c r="S95" s="1"/>
      <x:c r="T95" s="1"/>
      <x:c r="U95" s="1"/>
      <x:c r="V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93" t="n">
        <x:v>92</x:v>
      </x:c>
      <x:c r="N96" s="93" t="n">
        <x:f>INT((M96-1)/7)+1</x:f>
        <x:v>14</x:v>
      </x:c>
      <x:c r="O96" s="93" t="str">
        <x:v>TERM II</x:v>
      </x:c>
      <x:c r="P96" s="58" t="n">
        <x:v>2.95</x:v>
      </x:c>
      <x:c r="Q96" s="58" t="n">
        <x:f>SUM($P$5:P96)</x:f>
        <x:v>197.64999999999998</x:v>
      </x:c>
      <x:c r="R96" s="94"/>
      <x:c r="S96" s="1"/>
      <x:c r="T96" s="1"/>
      <x:c r="U96" s="1"/>
      <x:c r="V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93" t="n">
        <x:v>93</x:v>
      </x:c>
      <x:c r="N97" s="93" t="n">
        <x:f>INT((M97-1)/7)+1</x:f>
        <x:v>14</x:v>
      </x:c>
      <x:c r="O97" s="93" t="str">
        <x:v>TERM II</x:v>
      </x:c>
      <x:c r="P97" s="58" t="n">
        <x:v>2.95</x:v>
      </x:c>
      <x:c r="Q97" s="58" t="n">
        <x:f>SUM($P$5:P97)</x:f>
        <x:v>200.59999999999997</x:v>
      </x:c>
      <x:c r="R97" s="94"/>
      <x:c r="S97" s="1"/>
      <x:c r="T97" s="1"/>
      <x:c r="U97" s="1"/>
      <x:c r="V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93" t="n">
        <x:v>94</x:v>
      </x:c>
      <x:c r="N98" s="93" t="n">
        <x:f>INT((M98-1)/7)+1</x:f>
        <x:v>14</x:v>
      </x:c>
      <x:c r="O98" s="93" t="str">
        <x:v>TERM II</x:v>
      </x:c>
      <x:c r="P98" s="58" t="n">
        <x:v>2.95</x:v>
      </x:c>
      <x:c r="Q98" s="58" t="n">
        <x:f>SUM($P$5:P98)</x:f>
        <x:v>203.54999999999995</x:v>
      </x:c>
      <x:c r="R98" s="94"/>
      <x:c r="S98" s="1"/>
      <x:c r="T98" s="1"/>
      <x:c r="U98" s="1"/>
      <x:c r="V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93" t="n">
        <x:v>95</x:v>
      </x:c>
      <x:c r="N99" s="93" t="n">
        <x:f>INT((M99-1)/7)+1</x:f>
        <x:v>14</x:v>
      </x:c>
      <x:c r="O99" s="93" t="str">
        <x:v>TERM II</x:v>
      </x:c>
      <x:c r="P99" s="58" t="n">
        <x:v>3</x:v>
      </x:c>
      <x:c r="Q99" s="58" t="n">
        <x:f>SUM($P$5:P99)</x:f>
        <x:v>206.54999999999995</x:v>
      </x:c>
      <x:c r="R99" s="94"/>
      <x:c r="S99" s="1"/>
      <x:c r="T99" s="1"/>
      <x:c r="U99" s="1"/>
      <x:c r="V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93" t="n">
        <x:v>96</x:v>
      </x:c>
      <x:c r="N100" s="93" t="n">
        <x:f>INT((M100-1)/7)+1</x:f>
        <x:v>14</x:v>
      </x:c>
      <x:c r="O100" s="93" t="str">
        <x:v>TERM II</x:v>
      </x:c>
      <x:c r="P100" s="58" t="n">
        <x:v>3</x:v>
      </x:c>
      <x:c r="Q100" s="58" t="n">
        <x:f>SUM($P$5:P100)</x:f>
        <x:v>209.54999999999995</x:v>
      </x:c>
      <x:c r="R100" s="94"/>
      <x:c r="S100" s="1"/>
      <x:c r="T100" s="1"/>
      <x:c r="U100" s="1"/>
      <x:c r="V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93" t="n">
        <x:v>97</x:v>
      </x:c>
      <x:c r="N101" s="93" t="n">
        <x:f>INT((M101-1)/7)+1</x:f>
        <x:v>14</x:v>
      </x:c>
      <x:c r="O101" s="93" t="str">
        <x:v>TERM II</x:v>
      </x:c>
      <x:c r="P101" s="58" t="n">
        <x:v>3</x:v>
      </x:c>
      <x:c r="Q101" s="58" t="n">
        <x:f>SUM($P$5:P101)</x:f>
        <x:v>212.54999999999995</x:v>
      </x:c>
      <x:c r="R101" s="94"/>
      <x:c r="S101" s="1"/>
      <x:c r="T101" s="1"/>
      <x:c r="U101" s="1"/>
      <x:c r="V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93" t="n">
        <x:v>98</x:v>
      </x:c>
      <x:c r="N102" s="93" t="n">
        <x:f>INT((M102-1)/7)+1</x:f>
        <x:v>14</x:v>
      </x:c>
      <x:c r="O102" s="93" t="str">
        <x:v>TERM II</x:v>
      </x:c>
      <x:c r="P102" s="58" t="n">
        <x:v>3</x:v>
      </x:c>
      <x:c r="Q102" s="58" t="n">
        <x:f>SUM($P$5:P102)</x:f>
        <x:v>215.54999999999995</x:v>
      </x:c>
      <x:c r="R102" s="94"/>
      <x:c r="S102" s="1"/>
      <x:c r="T102" s="1"/>
      <x:c r="U102" s="1"/>
      <x:c r="V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93" t="n">
        <x:v>99</x:v>
      </x:c>
      <x:c r="N103" s="93" t="n">
        <x:f>INT((M103-1)/7)+1</x:f>
        <x:v>15</x:v>
      </x:c>
      <x:c r="O103" s="93" t="str">
        <x:v>TERM II</x:v>
      </x:c>
      <x:c r="P103" s="58" t="n">
        <x:v>3</x:v>
      </x:c>
      <x:c r="Q103" s="58" t="n">
        <x:f>SUM($P$5:P103)</x:f>
        <x:v>218.54999999999995</x:v>
      </x:c>
      <x:c r="R103" s="94"/>
      <x:c r="S103" s="1"/>
      <x:c r="T103" s="1"/>
      <x:c r="U103" s="1"/>
      <x:c r="V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93" t="n">
        <x:v>100</x:v>
      </x:c>
      <x:c r="N104" s="93" t="n">
        <x:f>INT((M104-1)/7)+1</x:f>
        <x:v>15</x:v>
      </x:c>
      <x:c r="O104" s="93" t="str">
        <x:v>TERM II</x:v>
      </x:c>
      <x:c r="P104" s="58" t="n">
        <x:v>3.1</x:v>
      </x:c>
      <x:c r="Q104" s="58" t="n">
        <x:f>SUM($P$5:P104)</x:f>
        <x:v>221.64999999999995</x:v>
      </x:c>
      <x:c r="R104" s="94"/>
      <x:c r="S104" s="1"/>
      <x:c r="T104" s="1"/>
      <x:c r="U104" s="1"/>
      <x:c r="V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93" t="n">
        <x:v>101</x:v>
      </x:c>
      <x:c r="N105" s="93" t="n">
        <x:f>INT((M105-1)/7)+1</x:f>
        <x:v>15</x:v>
      </x:c>
      <x:c r="O105" s="93" t="str">
        <x:v>TERM II</x:v>
      </x:c>
      <x:c r="P105" s="58" t="n">
        <x:v>3.1</x:v>
      </x:c>
      <x:c r="Q105" s="58" t="n">
        <x:f>SUM($P$5:P105)</x:f>
        <x:v>224.74999999999994</x:v>
      </x:c>
      <x:c r="R105" s="94"/>
      <x:c r="S105" s="1"/>
      <x:c r="T105" s="1"/>
      <x:c r="U105" s="1"/>
      <x:c r="V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93" t="n">
        <x:v>102</x:v>
      </x:c>
      <x:c r="N106" s="93" t="n">
        <x:f>INT((M106-1)/7)+1</x:f>
        <x:v>15</x:v>
      </x:c>
      <x:c r="O106" s="93" t="str">
        <x:v>TERM II</x:v>
      </x:c>
      <x:c r="P106" s="58" t="n">
        <x:v>3.1</x:v>
      </x:c>
      <x:c r="Q106" s="58" t="n">
        <x:f>SUM($P$5:P106)</x:f>
        <x:v>227.84999999999994</x:v>
      </x:c>
      <x:c r="R106" s="94"/>
      <x:c r="S106" s="1"/>
      <x:c r="T106" s="1"/>
      <x:c r="U106" s="1"/>
      <x:c r="V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93" t="n">
        <x:v>103</x:v>
      </x:c>
      <x:c r="N107" s="93" t="n">
        <x:f>INT((M107-1)/7)+1</x:f>
        <x:v>15</x:v>
      </x:c>
      <x:c r="O107" s="93" t="str">
        <x:v>TERM II</x:v>
      </x:c>
      <x:c r="P107" s="58" t="n">
        <x:v>3.1</x:v>
      </x:c>
      <x:c r="Q107" s="58" t="n">
        <x:f>SUM($P$5:P107)</x:f>
        <x:v>230.94999999999993</x:v>
      </x:c>
      <x:c r="R107" s="94"/>
      <x:c r="S107" s="1"/>
      <x:c r="T107" s="1"/>
      <x:c r="U107" s="1"/>
      <x:c r="V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93" t="n">
        <x:v>104</x:v>
      </x:c>
      <x:c r="N108" s="93" t="n">
        <x:f>INT((M108-1)/7)+1</x:f>
        <x:v>15</x:v>
      </x:c>
      <x:c r="O108" s="93" t="str">
        <x:v>TERM II</x:v>
      </x:c>
      <x:c r="P108" s="58" t="n">
        <x:v>3.1</x:v>
      </x:c>
      <x:c r="Q108" s="58" t="n">
        <x:f>SUM($P$5:P108)</x:f>
        <x:v>234.04999999999993</x:v>
      </x:c>
      <x:c r="R108" s="94"/>
      <x:c r="S108" s="1"/>
      <x:c r="T108" s="1"/>
      <x:c r="U108" s="1"/>
      <x:c r="V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93" t="n">
        <x:v>105</x:v>
      </x:c>
      <x:c r="N109" s="93" t="n">
        <x:f>INT((M109-1)/7)+1</x:f>
        <x:v>15</x:v>
      </x:c>
      <x:c r="O109" s="93" t="str">
        <x:v>TERM II</x:v>
      </x:c>
      <x:c r="P109" s="58" t="n">
        <x:v>3.1</x:v>
      </x:c>
      <x:c r="Q109" s="58" t="n">
        <x:f>SUM($P$5:P109)</x:f>
        <x:v>237.14999999999992</x:v>
      </x:c>
      <x:c r="R109" s="94"/>
      <x:c r="S109" s="1"/>
      <x:c r="T109" s="1"/>
      <x:c r="U109" s="1"/>
      <x:c r="V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93" t="n">
        <x:v>106</x:v>
      </x:c>
      <x:c r="N110" s="93" t="n">
        <x:f>INT((M110-1)/7)+1</x:f>
        <x:v>16</x:v>
      </x:c>
      <x:c r="O110" s="93" t="str">
        <x:v>NÃO INFORMADA</x:v>
      </x:c>
      <x:c r="P110" s="58" t="n">
        <x:v>3.15</x:v>
      </x:c>
      <x:c r="Q110" s="58" t="n">
        <x:f>SUM($P$5:P110)</x:f>
        <x:v>240.29999999999993</x:v>
      </x:c>
      <x:c r="R110" s="94" t="str">
        <x:v>A fonte não informa fase para os dias 106 a 112; valor preservado na curva oficial.</x:v>
      </x:c>
      <x:c r="S110" s="1"/>
      <x:c r="T110" s="1"/>
      <x:c r="U110" s="1"/>
      <x:c r="V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93" t="n">
        <x:v>107</x:v>
      </x:c>
      <x:c r="N111" s="93" t="n">
        <x:f>INT((M111-1)/7)+1</x:f>
        <x:v>16</x:v>
      </x:c>
      <x:c r="O111" s="93" t="str">
        <x:v>NÃO INFORMADA</x:v>
      </x:c>
      <x:c r="P111" s="58" t="n">
        <x:v>3.15</x:v>
      </x:c>
      <x:c r="Q111" s="58" t="n">
        <x:f>SUM($P$5:P111)</x:f>
        <x:v>243.44999999999993</x:v>
      </x:c>
      <x:c r="R111" s="94" t="str">
        <x:v>A fonte não informa fase para os dias 106 a 112; valor preservado na curva oficial.</x:v>
      </x:c>
      <x:c r="S111" s="1"/>
      <x:c r="T111" s="1"/>
      <x:c r="U111" s="1"/>
      <x:c r="V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93" t="n">
        <x:v>108</x:v>
      </x:c>
      <x:c r="N112" s="93" t="n">
        <x:f>INT((M112-1)/7)+1</x:f>
        <x:v>16</x:v>
      </x:c>
      <x:c r="O112" s="93" t="str">
        <x:v>NÃO INFORMADA</x:v>
      </x:c>
      <x:c r="P112" s="58" t="n">
        <x:v>3.15</x:v>
      </x:c>
      <x:c r="Q112" s="58" t="n">
        <x:f>SUM($P$5:P112)</x:f>
        <x:v>246.59999999999994</x:v>
      </x:c>
      <x:c r="R112" s="94" t="str">
        <x:v>A fonte não informa fase para os dias 106 a 112; valor preservado na curva oficial.</x:v>
      </x:c>
      <x:c r="S112" s="1"/>
      <x:c r="T112" s="1"/>
      <x:c r="U112" s="1"/>
      <x:c r="V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93" t="n">
        <x:v>109</x:v>
      </x:c>
      <x:c r="N113" s="93" t="n">
        <x:f>INT((M113-1)/7)+1</x:f>
        <x:v>16</x:v>
      </x:c>
      <x:c r="O113" s="93" t="str">
        <x:v>NÃO INFORMADA</x:v>
      </x:c>
      <x:c r="P113" s="58" t="n">
        <x:v>3.15</x:v>
      </x:c>
      <x:c r="Q113" s="58" t="n">
        <x:f>SUM($P$5:P113)</x:f>
        <x:v>249.74999999999994</x:v>
      </x:c>
      <x:c r="R113" s="94" t="str">
        <x:v>A fonte não informa fase para os dias 106 a 112; valor preservado na curva oficial.</x:v>
      </x:c>
      <x:c r="S113" s="1"/>
      <x:c r="T113" s="1"/>
      <x:c r="U113" s="1"/>
      <x:c r="V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93" t="n">
        <x:v>110</x:v>
      </x:c>
      <x:c r="N114" s="93" t="n">
        <x:f>INT((M114-1)/7)+1</x:f>
        <x:v>16</x:v>
      </x:c>
      <x:c r="O114" s="93" t="str">
        <x:v>NÃO INFORMADA</x:v>
      </x:c>
      <x:c r="P114" s="58" t="n">
        <x:v>3.15</x:v>
      </x:c>
      <x:c r="Q114" s="58" t="n">
        <x:f>SUM($P$5:P114)</x:f>
        <x:v>252.89999999999995</x:v>
      </x:c>
      <x:c r="R114" s="94" t="str">
        <x:v>A fonte não informa fase para os dias 106 a 112; valor preservado na curva oficial.</x:v>
      </x:c>
      <x:c r="S114" s="1"/>
      <x:c r="T114" s="1"/>
      <x:c r="U114" s="1"/>
      <x:c r="V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93" t="n">
        <x:v>111</x:v>
      </x:c>
      <x:c r="N115" s="93" t="n">
        <x:f>INT((M115-1)/7)+1</x:f>
        <x:v>16</x:v>
      </x:c>
      <x:c r="O115" s="93" t="str">
        <x:v>NÃO INFORMADA</x:v>
      </x:c>
      <x:c r="P115" s="58" t="n">
        <x:v>3.15</x:v>
      </x:c>
      <x:c r="Q115" s="58" t="n">
        <x:f>SUM($P$5:P115)</x:f>
        <x:v>256.04999999999995</x:v>
      </x:c>
      <x:c r="R115" s="94" t="str">
        <x:v>A fonte não informa fase para os dias 106 a 112; valor preservado na curva oficial.</x:v>
      </x:c>
      <x:c r="S115" s="1"/>
      <x:c r="T115" s="1"/>
      <x:c r="U115" s="1"/>
      <x:c r="V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93" t="n">
        <x:v>112</x:v>
      </x:c>
      <x:c r="N116" s="93" t="n">
        <x:f>INT((M116-1)/7)+1</x:f>
        <x:v>16</x:v>
      </x:c>
      <x:c r="O116" s="93" t="str">
        <x:v>NÃO INFORMADA</x:v>
      </x:c>
      <x:c r="P116" s="58" t="n">
        <x:v>3.15</x:v>
      </x:c>
      <x:c r="Q116" s="58" t="n">
        <x:f>SUM($P$5:P116)</x:f>
        <x:v>259.19999999999993</x:v>
      </x:c>
      <x:c r="R116" s="94" t="str">
        <x:v>A fonte não informa fase para os dias 106 a 112; valor preservado na curva oficial.</x:v>
      </x:c>
      <x:c r="S116" s="1"/>
      <x:c r="T116" s="1"/>
      <x:c r="U116" s="1"/>
      <x:c r="V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</x:row>
  </x:sheetData>
  <x:mergeCells>
    <x:mergeCell ref="A1:B3"/>
    <x:mergeCell ref="C1:K2"/>
    <x:mergeCell ref="C3:K3"/>
    <x:mergeCell ref="A5:A6"/>
    <x:mergeCell ref="B5:B6"/>
    <x:mergeCell ref="C5:D5"/>
    <x:mergeCell ref="G5:G6"/>
    <x:mergeCell ref="H5:H6"/>
    <x:mergeCell ref="I5:J5"/>
    <x:mergeCell ref="A7:A13"/>
    <x:mergeCell ref="A14:A20"/>
    <x:mergeCell ref="A21:A27"/>
    <x:mergeCell ref="A28:A34"/>
    <x:mergeCell ref="A35:A41"/>
    <x:mergeCell ref="A42:A48"/>
    <x:mergeCell ref="A49:A55"/>
    <x:mergeCell ref="A56:A62"/>
    <x:mergeCell ref="G7:G13"/>
    <x:mergeCell ref="G14:G20"/>
    <x:mergeCell ref="G21:G27"/>
    <x:mergeCell ref="G28:G34"/>
    <x:mergeCell ref="G35:G41"/>
    <x:mergeCell ref="G42:G48"/>
    <x:mergeCell ref="G49:G55"/>
    <x:mergeCell ref="G56:G62"/>
    <x:mergeCell ref="A72:B72"/>
    <x:mergeCell ref="M1:R2"/>
    <x:mergeCell ref="M3:R3"/>
    <x:mergeCell ref="T1:V2"/>
  </x:mergeCells>
  <x:conditionalFormatting sqref="M5:R116">
    <x:cfRule type="expression" dxfId="0" priority="1">
      <x:formula>$M5&gt;=106</x:formula>
    </x:cfRule>
  </x:conditionalFormatting>
  <x:pageMargins left="0.7" right="0.7" top="0.75" bottom="0.75" header="0.3" footer="0.3"/>
  <x:drawing xmlns:r="http://schemas.openxmlformats.org/officeDocument/2006/relationships" r:id="R5fb95ca6aac345b6"/>
  <x:tableParts count="1">
    <x:tablePart xmlns:r="http://schemas.openxmlformats.org/officeDocument/2006/relationships" r:id="R3229c27dc1424dc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/>
      <x:c r="B1" s="5"/>
      <x:c r="C1" s="25" t="str">
        <x:v>RESUMO DAS FASES</x:v>
      </x:c>
      <x:c r="D1" s="25" t="str">
        <x:v>RESUMO DAS FASES</x:v>
      </x:c>
      <x:c r="E1" s="25" t="str">
        <x:v>RESUMO DAS FASES</x:v>
      </x:c>
      <x:c r="F1" s="25" t="str">
        <x:v>RESUMO DAS FASES</x:v>
      </x:c>
      <x:c r="G1" s="25" t="str">
        <x:v>RESUMO DAS FASES</x:v>
      </x:c>
      <x:c r="H1" s="25" t="str">
        <x:v>RESUMO DAS FASES</x:v>
      </x:c>
    </x:row>
    <x:row r="2" ht="34" customHeight="1">
      <x:c r="A2" s="6"/>
      <x:c r="B2" s="7"/>
      <x:c r="C2" s="25" t="str">
        <x:v>RESUMO DAS FASES</x:v>
      </x:c>
      <x:c r="D2" s="25" t="str">
        <x:v>RESUMO DAS FASES</x:v>
      </x:c>
      <x:c r="E2" s="25" t="str">
        <x:v>RESUMO DAS FASES</x:v>
      </x:c>
      <x:c r="F2" s="25" t="str">
        <x:v>RESUMO DAS FASES</x:v>
      </x:c>
      <x:c r="G2" s="25" t="str">
        <x:v>RESUMO DAS FASES</x:v>
      </x:c>
      <x:c r="H2" s="25" t="str">
        <x:v>RESUMO DAS FASES</x:v>
      </x:c>
    </x:row>
    <x:row r="3" ht="23" customHeight="1">
      <x:c r="A3" s="8"/>
      <x:c r="B3" s="10"/>
      <x:c r="C3" s="98" t="str">
        <x:v>Resumo oficial · cálculo conectado à base estruturada</x:v>
      </x:c>
      <x:c r="D3" s="98" t="str">
        <x:v>Resumo oficial · cálculo conectado à base estruturada</x:v>
      </x:c>
      <x:c r="E3" s="98" t="str">
        <x:v>Resumo oficial · cálculo conectado à base estruturada</x:v>
      </x:c>
      <x:c r="F3" s="98" t="str">
        <x:v>Resumo oficial · cálculo conectado à base estruturada</x:v>
      </x:c>
      <x:c r="G3" s="98" t="str">
        <x:v>Resumo oficial · cálculo conectado à base estruturada</x:v>
      </x:c>
      <x:c r="H3" s="98" t="str">
        <x:v>Resumo oficial · cálculo conectado à base estruturada</x:v>
      </x:c>
    </x:row>
    <x:row r="4" ht="23" customHeight="1">
      <x:c r="A4" s="81" t="str">
        <x:v>Fase</x:v>
      </x:c>
      <x:c r="B4" s="81" t="str">
        <x:v>Dia inicial</x:v>
      </x:c>
      <x:c r="C4" s="81" t="str">
        <x:v>Dia final</x:v>
      </x:c>
      <x:c r="D4" s="81" t="str">
        <x:v>Dias</x:v>
      </x:c>
      <x:c r="E4" s="81" t="str">
        <x:v>Consumo inicial</x:v>
      </x:c>
      <x:c r="F4" s="81" t="str">
        <x:v>Consumo final</x:v>
      </x:c>
      <x:c r="G4" s="81" t="str">
        <x:v>Acumulado final</x:v>
      </x:c>
      <x:c r="H4" s="81" t="str">
        <x:v>Total da fase</x:v>
      </x:c>
    </x:row>
    <x:row r="5" ht="23" customHeight="1">
      <x:c r="A5" s="43" t="str">
        <x:v>Alojamento</x:v>
      </x:c>
      <x:c r="B5" s="53" t="n">
        <x:v>1</x:v>
      </x:c>
      <x:c r="C5" s="53" t="n">
        <x:v>12</x:v>
      </x:c>
      <x:c r="D5" s="53" t="n">
        <x:f>C5-B5+1</x:f>
        <x:v>12</x:v>
      </x:c>
      <x:c r="E5" s="55" t="n">
        <x:f>'Curva Oficial do Integrador'!P5</x:f>
        <x:v>1.25</x:v>
      </x:c>
      <x:c r="F5" s="55" t="n">
        <x:f>'Curva Oficial do Integrador'!P16</x:f>
        <x:v>1.45</x:v>
      </x:c>
      <x:c r="G5" s="55" t="n">
        <x:f>'Curva Oficial do Integrador'!Q16</x:f>
        <x:v>16.349999999999998</x:v>
      </x:c>
      <x:c r="H5" s="55" t="n">
        <x:f>G5</x:f>
        <x:v>16.349999999999998</x:v>
      </x:c>
    </x:row>
    <x:row r="6" ht="23" customHeight="1">
      <x:c r="A6" s="43" t="str">
        <x:v>Crescimento</x:v>
      </x:c>
      <x:c r="B6" s="53" t="n">
        <x:v>13</x:v>
      </x:c>
      <x:c r="C6" s="53" t="n">
        <x:v>34</x:v>
      </x:c>
      <x:c r="D6" s="53" t="n">
        <x:f>C6-B6+1</x:f>
        <x:v>22</x:v>
      </x:c>
      <x:c r="E6" s="55" t="n">
        <x:f>'Curva Oficial do Integrador'!P17</x:f>
        <x:v>1.5</x:v>
      </x:c>
      <x:c r="F6" s="55" t="n">
        <x:f>'Curva Oficial do Integrador'!P38</x:f>
        <x:v>1.85</x:v>
      </x:c>
      <x:c r="G6" s="55" t="n">
        <x:f>'Curva Oficial do Integrador'!Q38</x:f>
        <x:v>52.85</x:v>
      </x:c>
      <x:c r="H6" s="55" t="n">
        <x:f>G6-G5</x:f>
        <x:v>36.5</x:v>
      </x:c>
    </x:row>
    <x:row r="7" ht="23" customHeight="1">
      <x:c r="A7" s="43" t="str">
        <x:v>Extra I</x:v>
      </x:c>
      <x:c r="B7" s="53" t="n">
        <x:v>35</x:v>
      </x:c>
      <x:c r="C7" s="53" t="n">
        <x:v>46</x:v>
      </x:c>
      <x:c r="D7" s="53" t="n">
        <x:f>C7-B7+1</x:f>
        <x:v>12</x:v>
      </x:c>
      <x:c r="E7" s="55" t="n">
        <x:f>'Curva Oficial do Integrador'!P39</x:f>
        <x:v>1.85</x:v>
      </x:c>
      <x:c r="F7" s="55" t="n">
        <x:f>'Curva Oficial do Integrador'!P50</x:f>
        <x:v>2.15</x:v>
      </x:c>
      <x:c r="G7" s="55" t="n">
        <x:f>'Curva Oficial do Integrador'!Q50</x:f>
        <x:v>76.69999999999999</x:v>
      </x:c>
      <x:c r="H7" s="55" t="n">
        <x:f>G7-G6</x:f>
        <x:v>23.849999999999987</x:v>
      </x:c>
    </x:row>
    <x:row r="8" ht="23" customHeight="1">
      <x:c r="A8" s="43" t="str">
        <x:v>Terminação I</x:v>
      </x:c>
      <x:c r="B8" s="53" t="n">
        <x:v>47</x:v>
      </x:c>
      <x:c r="C8" s="53" t="n">
        <x:v>66</x:v>
      </x:c>
      <x:c r="D8" s="53" t="n">
        <x:f>C8-B8+1</x:f>
        <x:v>20</x:v>
      </x:c>
      <x:c r="E8" s="55" t="n">
        <x:f>'Curva Oficial do Integrador'!P51</x:f>
        <x:v>2.15</x:v>
      </x:c>
      <x:c r="F8" s="55" t="n">
        <x:f>'Curva Oficial do Integrador'!P70</x:f>
        <x:v>2.6</x:v>
      </x:c>
      <x:c r="G8" s="55" t="n">
        <x:f>'Curva Oficial do Integrador'!Q70</x:f>
        <x:v>124.19999999999999</x:v>
      </x:c>
      <x:c r="H8" s="55" t="n">
        <x:f>G8-G7</x:f>
        <x:v>47.5</x:v>
      </x:c>
    </x:row>
    <x:row r="9" ht="23" customHeight="1">
      <x:c r="A9" s="43" t="str">
        <x:v>Extra II</x:v>
      </x:c>
      <x:c r="B9" s="53" t="n">
        <x:v>67</x:v>
      </x:c>
      <x:c r="C9" s="53" t="n">
        <x:v>78</x:v>
      </x:c>
      <x:c r="D9" s="53" t="n">
        <x:f>C9-B9+1</x:f>
        <x:v>12</x:v>
      </x:c>
      <x:c r="E9" s="55" t="n">
        <x:f>'Curva Oficial do Integrador'!P71</x:f>
        <x:v>2.65</x:v>
      </x:c>
      <x:c r="F9" s="55" t="n">
        <x:f>'Curva Oficial do Integrador'!P82</x:f>
        <x:v>2.8</x:v>
      </x:c>
      <x:c r="G9" s="55" t="n">
        <x:f>'Curva Oficial do Integrador'!Q82</x:f>
        <x:v>157.10000000000002</x:v>
      </x:c>
      <x:c r="H9" s="55" t="n">
        <x:f>G9-G8</x:f>
        <x:v>32.900000000000034</x:v>
      </x:c>
    </x:row>
    <x:row r="10" ht="23" customHeight="1">
      <x:c r="A10" s="43" t="str">
        <x:v>Terminação II</x:v>
      </x:c>
      <x:c r="B10" s="53" t="n">
        <x:v>79</x:v>
      </x:c>
      <x:c r="C10" s="53" t="n">
        <x:v>105</x:v>
      </x:c>
      <x:c r="D10" s="53" t="n">
        <x:f>C10-B10+1</x:f>
        <x:v>27</x:v>
      </x:c>
      <x:c r="E10" s="55" t="n">
        <x:f>'Curva Oficial do Integrador'!P83</x:f>
        <x:v>2.85</x:v>
      </x:c>
      <x:c r="F10" s="55" t="n">
        <x:f>'Curva Oficial do Integrador'!P109</x:f>
        <x:v>3.1</x:v>
      </x:c>
      <x:c r="G10" s="55" t="n">
        <x:f>'Curva Oficial do Integrador'!Q109</x:f>
        <x:v>237.14999999999992</x:v>
      </x:c>
      <x:c r="H10" s="55" t="n">
        <x:f>G10-G9</x:f>
        <x:v>80.0499999999999</x:v>
      </x:c>
    </x:row>
    <x:row r="11" ht="23" customHeight="1">
      <x:c r="A11" s="39" t="str">
        <x:v>Total</x:v>
      </x:c>
      <x:c r="B11" s="39" t="n">
        <x:v>1</x:v>
      </x:c>
      <x:c r="C11" s="39" t="n">
        <x:v>105</x:v>
      </x:c>
      <x:c r="D11" s="39" t="n">
        <x:f>SUM(D5:D10)</x:f>
        <x:v>105</x:v>
      </x:c>
      <x:c r="E11" s="82" t="n">
        <x:f>E5</x:f>
        <x:v>1.25</x:v>
      </x:c>
      <x:c r="F11" s="82" t="n">
        <x:f>F10</x:f>
        <x:v>3.1</x:v>
      </x:c>
      <x:c r="G11" s="82" t="n">
        <x:f>G10</x:f>
        <x:v>237.14999999999992</x:v>
      </x:c>
      <x:c r="H11" s="82" t="n">
        <x:f>SUM(H5:H10)</x:f>
        <x:v>237.14999999999992</x:v>
      </x:c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 ht="24" customHeight="1">
      <x:c r="A13" s="41" t="str">
        <x:v>GranjaFlow · Gestão inteligente para granjas</x:v>
      </x:c>
      <x:c r="B13" s="41" t="str">
        <x:v>GranjaFlow · Gestão inteligente para granjas</x:v>
      </x:c>
      <x:c r="C13" s="41" t="str">
        <x:v>GranjaFlow · Gestão inteligente para granjas</x:v>
      </x:c>
      <x:c r="D13" s="41" t="str">
        <x:v>GranjaFlow · Gestão inteligente para granjas</x:v>
      </x:c>
      <x:c r="E13" s="41" t="str">
        <x:v>GranjaFlow · Gestão inteligente para granjas</x:v>
      </x:c>
      <x:c r="F13" s="41" t="str">
        <x:v>GranjaFlow · Gestão inteligente para granjas</x:v>
      </x:c>
      <x:c r="G13" s="41" t="str">
        <x:v>GranjaFlow · Gestão inteligente para granjas</x:v>
      </x:c>
      <x:c r="H13" s="41" t="str">
        <x:v>GranjaFlow · Gestão inteligente para granjas</x:v>
      </x:c>
    </x:row>
  </x:sheetData>
  <x:mergeCells>
    <x:mergeCell ref="A1:B3"/>
    <x:mergeCell ref="C1:H2"/>
    <x:mergeCell ref="C3:H3"/>
    <x:mergeCell ref="A13:H13"/>
  </x:mergeCells>
  <x:conditionalFormatting sqref="A5:H10">
    <x:cfRule type="expression" dxfId="1" priority="1">
      <x:formula>MOD(ROW(),2)=0</x:formula>
    </x:cfRule>
  </x:conditionalFormatting>
  <x:pageMargins left="0.7" right="0.7" top="0.75" bottom="0.75" header="0.3" footer="0.3"/>
  <x:drawing xmlns:r="http://schemas.openxmlformats.org/officeDocument/2006/relationships" r:id="R52529dcc06fe401d"/>
  <x:tableParts count="1">
    <x:tablePart xmlns:r="http://schemas.openxmlformats.org/officeDocument/2006/relationships" r:id="Rd961025d9f2049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</x:cols>
  <x:sheetData>
    <x:row r="1" ht="30" customHeight="1">
      <x:c r="A1" s="3"/>
      <x:c r="B1" s="4"/>
      <x:c r="C1" s="5"/>
      <x:c r="D1" s="104" t="str">
        <x:v>DASHBOARD PREMIUM · CURVA OFICIAL DO INTEGRADOR</x:v>
      </x:c>
      <x:c r="E1" s="104" t="str">
        <x:v>DASHBOARD PREMIUM · CURVA OFICIAL DO INTEGRADOR</x:v>
      </x:c>
      <x:c r="F1" s="104" t="str">
        <x:v>DASHBOARD PREMIUM · CURVA OFICIAL DO INTEGRADOR</x:v>
      </x:c>
      <x:c r="G1" s="104" t="str">
        <x:v>DASHBOARD PREMIUM · CURVA OFICIAL DO INTEGRADOR</x:v>
      </x:c>
      <x:c r="H1" s="104" t="str">
        <x:v>DASHBOARD PREMIUM · CURVA OFICIAL DO INTEGRADOR</x:v>
      </x:c>
      <x:c r="I1" s="104" t="str">
        <x:v>DASHBOARD PREMIUM · CURVA OFICIAL DO INTEGRADOR</x:v>
      </x:c>
      <x:c r="J1" s="104" t="str">
        <x:v>DASHBOARD PREMIUM · CURVA OFICIAL DO INTEGRADOR</x:v>
      </x:c>
      <x:c r="K1" s="104" t="str">
        <x:v>DASHBOARD PREMIUM · CURVA OFICIAL DO INTEGRADOR</x:v>
      </x:c>
      <x:c r="L1" s="104" t="str">
        <x:v>DASHBOARD PREMIUM · CURVA OFICIAL DO INTEGRADOR</x:v>
      </x:c>
      <x:c r="M1" s="104" t="str">
        <x:v>DASHBOARD PREMIUM · CURVA OFICIAL DO INTEGRADOR</x:v>
      </x:c>
      <x:c r="N1" s="104" t="str">
        <x:v>DASHBOARD PREMIUM · CURVA OFICIAL DO INTEGRADOR</x:v>
      </x:c>
      <x:c r="O1" s="104" t="str">
        <x:v>DASHBOARD PREMIUM · CURVA OFICIAL DO INTEGRADOR</x:v>
      </x:c>
    </x:row>
    <x:row r="2" ht="30" customHeight="1">
      <x:c r="A2" s="6"/>
      <x:c r="B2" s="2"/>
      <x:c r="C2" s="7"/>
      <x:c r="D2" s="104" t="str">
        <x:v>DASHBOARD PREMIUM · CURVA OFICIAL DO INTEGRADOR</x:v>
      </x:c>
      <x:c r="E2" s="104" t="str">
        <x:v>DASHBOARD PREMIUM · CURVA OFICIAL DO INTEGRADOR</x:v>
      </x:c>
      <x:c r="F2" s="104" t="str">
        <x:v>DASHBOARD PREMIUM · CURVA OFICIAL DO INTEGRADOR</x:v>
      </x:c>
      <x:c r="G2" s="104" t="str">
        <x:v>DASHBOARD PREMIUM · CURVA OFICIAL DO INTEGRADOR</x:v>
      </x:c>
      <x:c r="H2" s="104" t="str">
        <x:v>DASHBOARD PREMIUM · CURVA OFICIAL DO INTEGRADOR</x:v>
      </x:c>
      <x:c r="I2" s="104" t="str">
        <x:v>DASHBOARD PREMIUM · CURVA OFICIAL DO INTEGRADOR</x:v>
      </x:c>
      <x:c r="J2" s="104" t="str">
        <x:v>DASHBOARD PREMIUM · CURVA OFICIAL DO INTEGRADOR</x:v>
      </x:c>
      <x:c r="K2" s="104" t="str">
        <x:v>DASHBOARD PREMIUM · CURVA OFICIAL DO INTEGRADOR</x:v>
      </x:c>
      <x:c r="L2" s="104" t="str">
        <x:v>DASHBOARD PREMIUM · CURVA OFICIAL DO INTEGRADOR</x:v>
      </x:c>
      <x:c r="M2" s="104" t="str">
        <x:v>DASHBOARD PREMIUM · CURVA OFICIAL DO INTEGRADOR</x:v>
      </x:c>
      <x:c r="N2" s="104" t="str">
        <x:v>DASHBOARD PREMIUM · CURVA OFICIAL DO INTEGRADOR</x:v>
      </x:c>
      <x:c r="O2" s="104" t="str">
        <x:v>DASHBOARD PREMIUM · CURVA OFICIAL DO INTEGRADOR</x:v>
      </x:c>
    </x:row>
    <x:row r="3" ht="30" customHeight="1">
      <x:c r="A3" s="6"/>
      <x:c r="B3" s="2"/>
      <x:c r="C3" s="7"/>
      <x:c r="D3" s="104" t="str">
        <x:v>DASHBOARD PREMIUM · CURVA OFICIAL DO INTEGRADOR</x:v>
      </x:c>
      <x:c r="E3" s="104" t="str">
        <x:v>DASHBOARD PREMIUM · CURVA OFICIAL DO INTEGRADOR</x:v>
      </x:c>
      <x:c r="F3" s="104" t="str">
        <x:v>DASHBOARD PREMIUM · CURVA OFICIAL DO INTEGRADOR</x:v>
      </x:c>
      <x:c r="G3" s="104" t="str">
        <x:v>DASHBOARD PREMIUM · CURVA OFICIAL DO INTEGRADOR</x:v>
      </x:c>
      <x:c r="H3" s="104" t="str">
        <x:v>DASHBOARD PREMIUM · CURVA OFICIAL DO INTEGRADOR</x:v>
      </x:c>
      <x:c r="I3" s="104" t="str">
        <x:v>DASHBOARD PREMIUM · CURVA OFICIAL DO INTEGRADOR</x:v>
      </x:c>
      <x:c r="J3" s="104" t="str">
        <x:v>DASHBOARD PREMIUM · CURVA OFICIAL DO INTEGRADOR</x:v>
      </x:c>
      <x:c r="K3" s="104" t="str">
        <x:v>DASHBOARD PREMIUM · CURVA OFICIAL DO INTEGRADOR</x:v>
      </x:c>
      <x:c r="L3" s="104" t="str">
        <x:v>DASHBOARD PREMIUM · CURVA OFICIAL DO INTEGRADOR</x:v>
      </x:c>
      <x:c r="M3" s="104" t="str">
        <x:v>DASHBOARD PREMIUM · CURVA OFICIAL DO INTEGRADOR</x:v>
      </x:c>
      <x:c r="N3" s="104" t="str">
        <x:v>DASHBOARD PREMIUM · CURVA OFICIAL DO INTEGRADOR</x:v>
      </x:c>
      <x:c r="O3" s="104" t="str">
        <x:v>DASHBOARD PREMIUM · CURVA OFICIAL DO INTEGRADOR</x:v>
      </x:c>
    </x:row>
    <x:row r="4" ht="22" customHeight="1">
      <x:c r="A4" s="8"/>
      <x:c r="B4" s="9"/>
      <x:c r="C4" s="10"/>
      <x:c r="D4" s="33" t="str">
        <x:v>Folha oficial em formato visual · 112 dias · 16 semanas · kg/animal</x:v>
      </x:c>
      <x:c r="E4" s="33" t="str">
        <x:v>Folha oficial em formato visual · 112 dias · 16 semanas · kg/animal</x:v>
      </x:c>
      <x:c r="F4" s="33" t="str">
        <x:v>Folha oficial em formato visual · 112 dias · 16 semanas · kg/animal</x:v>
      </x:c>
      <x:c r="G4" s="33" t="str">
        <x:v>Folha oficial em formato visual · 112 dias · 16 semanas · kg/animal</x:v>
      </x:c>
      <x:c r="H4" s="33" t="str">
        <x:v>Folha oficial em formato visual · 112 dias · 16 semanas · kg/animal</x:v>
      </x:c>
      <x:c r="I4" s="33" t="str">
        <x:v>Folha oficial em formato visual · 112 dias · 16 semanas · kg/animal</x:v>
      </x:c>
      <x:c r="J4" s="33" t="str">
        <x:v>Folha oficial em formato visual · 112 dias · 16 semanas · kg/animal</x:v>
      </x:c>
      <x:c r="K4" s="33" t="str">
        <x:v>Folha oficial em formato visual · 112 dias · 16 semanas · kg/animal</x:v>
      </x:c>
      <x:c r="L4" s="33" t="str">
        <x:v>Folha oficial em formato visual · 112 dias · 16 semanas · kg/animal</x:v>
      </x:c>
      <x:c r="M4" s="33" t="str">
        <x:v>Folha oficial em formato visual · 112 dias · 16 semanas · kg/animal</x:v>
      </x:c>
      <x:c r="N4" s="33" t="str">
        <x:v>Folha oficial em formato visual · 112 dias · 16 semanas · kg/animal</x:v>
      </x:c>
      <x:c r="O4" s="33" t="str">
        <x:v>Folha oficial em formato visual · 112 dias · 16 semanas · kg/animal</x:v>
      </x:c>
    </x:row>
    <x:row r="5">
      <x:c r="A5" s="101"/>
      <x:c r="B5" s="101"/>
      <x:c r="C5" s="101"/>
      <x:c r="D5" s="101"/>
      <x:c r="E5" s="101"/>
      <x:c r="F5" s="101"/>
      <x:c r="G5" s="101"/>
      <x:c r="H5" s="101"/>
      <x:c r="I5" s="101"/>
      <x:c r="J5" s="101"/>
      <x:c r="K5" s="101"/>
      <x:c r="L5" s="101"/>
      <x:c r="M5" s="101"/>
      <x:c r="N5" s="101"/>
      <x:c r="O5" s="101"/>
    </x:row>
    <x:row r="6" ht="24" customHeight="1">
      <x:c r="A6" s="117" t="str">
        <x:v>CONSUMO TOTAL DA CURVA</x:v>
      </x:c>
      <x:c r="B6" s="118" t="str">
        <x:v>CONSUMO TOTAL DA CURVA</x:v>
      </x:c>
      <x:c r="C6" s="119" t="str">
        <x:v>CONSUMO TOTAL DA CURVA</x:v>
      </x:c>
      <x:c r="D6" s="117" t="str">
        <x:v>TOTAL OFICIAL DAS FASES</x:v>
      </x:c>
      <x:c r="E6" s="118" t="str">
        <x:v>TOTAL OFICIAL DAS FASES</x:v>
      </x:c>
      <x:c r="F6" s="119" t="str">
        <x:v>TOTAL OFICIAL DAS FASES</x:v>
      </x:c>
      <x:c r="G6" s="117" t="str">
        <x:v>MÉDIA DIÁRIA</x:v>
      </x:c>
      <x:c r="H6" s="118" t="str">
        <x:v>MÉDIA DIÁRIA</x:v>
      </x:c>
      <x:c r="I6" s="119" t="str">
        <x:v>MÉDIA DIÁRIA</x:v>
      </x:c>
      <x:c r="J6" s="117" t="str">
        <x:v>NÚMERO DE DIAS</x:v>
      </x:c>
      <x:c r="K6" s="118" t="str">
        <x:v>NÚMERO DE DIAS</x:v>
      </x:c>
      <x:c r="L6" s="119" t="str">
        <x:v>NÚMERO DE DIAS</x:v>
      </x:c>
      <x:c r="M6" s="117" t="str">
        <x:v>NÚMERO DE SEMANAS</x:v>
      </x:c>
      <x:c r="N6" s="118" t="str">
        <x:v>NÚMERO DE SEMANAS</x:v>
      </x:c>
      <x:c r="O6" s="119" t="str">
        <x:v>NÚMERO DE SEMANAS</x:v>
      </x:c>
    </x:row>
    <x:row r="7" ht="24" customHeight="1">
      <x:c r="A7" s="120" t="str">
        <x:v>CONSUMO TOTAL DA CURVA</x:v>
      </x:c>
      <x:c r="B7" s="121" t="str">
        <x:v>CONSUMO TOTAL DA CURVA</x:v>
      </x:c>
      <x:c r="C7" s="122" t="str">
        <x:v>CONSUMO TOTAL DA CURVA</x:v>
      </x:c>
      <x:c r="D7" s="120" t="str">
        <x:v>TOTAL OFICIAL DAS FASES</x:v>
      </x:c>
      <x:c r="E7" s="121" t="str">
        <x:v>TOTAL OFICIAL DAS FASES</x:v>
      </x:c>
      <x:c r="F7" s="122" t="str">
        <x:v>TOTAL OFICIAL DAS FASES</x:v>
      </x:c>
      <x:c r="G7" s="120" t="str">
        <x:v>MÉDIA DIÁRIA</x:v>
      </x:c>
      <x:c r="H7" s="121" t="str">
        <x:v>MÉDIA DIÁRIA</x:v>
      </x:c>
      <x:c r="I7" s="122" t="str">
        <x:v>MÉDIA DIÁRIA</x:v>
      </x:c>
      <x:c r="J7" s="120" t="str">
        <x:v>NÚMERO DE DIAS</x:v>
      </x:c>
      <x:c r="K7" s="121" t="str">
        <x:v>NÚMERO DE DIAS</x:v>
      </x:c>
      <x:c r="L7" s="122" t="str">
        <x:v>NÚMERO DE DIAS</x:v>
      </x:c>
      <x:c r="M7" s="120" t="str">
        <x:v>NÚMERO DE SEMANAS</x:v>
      </x:c>
      <x:c r="N7" s="121" t="str">
        <x:v>NÚMERO DE SEMANAS</x:v>
      </x:c>
      <x:c r="O7" s="122" t="str">
        <x:v>NÚMERO DE SEMANAS</x:v>
      </x:c>
    </x:row>
    <x:row r="8" ht="24" customHeight="1">
      <x:c r="A8" s="141" t="n">
        <x:f>'Curva Oficial do Integrador'!Q116</x:f>
        <x:v>259.19999999999993</x:v>
      </x:c>
      <x:c r="B8" s="142"/>
      <x:c r="C8" s="143"/>
      <x:c r="D8" s="141" t="n">
        <x:f>'Resumo das Fases'!H11</x:f>
        <x:v>237.14999999999992</x:v>
      </x:c>
      <x:c r="E8" s="142"/>
      <x:c r="F8" s="143"/>
      <x:c r="G8" s="141" t="n">
        <x:f>AVERAGE('Curva Oficial do Integrador'!P5:P116)</x:f>
        <x:v>2.3142857142857136</x:v>
      </x:c>
      <x:c r="H8" s="142"/>
      <x:c r="I8" s="143"/>
      <x:c r="J8" s="159" t="n">
        <x:f>COUNTA('Curva Oficial do Integrador'!M5:M116)</x:f>
        <x:v>112</x:v>
      </x:c>
      <x:c r="K8" s="160"/>
      <x:c r="L8" s="161"/>
      <x:c r="M8" s="159" t="n">
        <x:f>MAX('Curva Oficial do Integrador'!N5:N116)</x:f>
        <x:v>16</x:v>
      </x:c>
      <x:c r="N8" s="160"/>
      <x:c r="O8" s="161"/>
    </x:row>
    <x:row r="9" ht="24" customHeight="1">
      <x:c r="A9" s="144"/>
      <x:c r="B9" s="145"/>
      <x:c r="C9" s="146"/>
      <x:c r="D9" s="144"/>
      <x:c r="E9" s="145"/>
      <x:c r="F9" s="146"/>
      <x:c r="G9" s="144"/>
      <x:c r="H9" s="145"/>
      <x:c r="I9" s="146"/>
      <x:c r="J9" s="162"/>
      <x:c r="K9" s="163"/>
      <x:c r="L9" s="164"/>
      <x:c r="M9" s="162"/>
      <x:c r="N9" s="163"/>
      <x:c r="O9" s="164"/>
    </x:row>
    <x:row r="10">
      <x:c r="A10" s="101"/>
      <x:c r="B10" s="101"/>
      <x:c r="C10" s="101"/>
      <x:c r="D10" s="101"/>
      <x:c r="E10" s="101"/>
      <x:c r="F10" s="101"/>
      <x:c r="G10" s="101"/>
      <x:c r="H10" s="101"/>
      <x:c r="I10" s="101"/>
      <x:c r="J10" s="101"/>
      <x:c r="K10" s="101"/>
      <x:c r="L10" s="101"/>
      <x:c r="M10" s="101"/>
      <x:c r="N10" s="101"/>
      <x:c r="O10" s="101"/>
    </x:row>
    <x:row r="11" ht="24" customHeight="1">
      <x:c r="A11" s="81" t="str">
        <x:v>CURVA OFICIAL · CONSUMO DIÁRIO</x:v>
      </x:c>
      <x:c r="B11" s="81" t="str">
        <x:v>CURVA OFICIAL · CONSUMO DIÁRIO</x:v>
      </x:c>
      <x:c r="C11" s="81" t="str">
        <x:v>CURVA OFICIAL · CONSUMO DIÁRIO</x:v>
      </x:c>
      <x:c r="D11" s="81" t="str">
        <x:v>CURVA OFICIAL · CONSUMO DIÁRIO</x:v>
      </x:c>
      <x:c r="E11" s="81" t="str">
        <x:v>CURVA OFICIAL · CONSUMO DIÁRIO</x:v>
      </x:c>
      <x:c r="F11" s="81" t="str">
        <x:v>CURVA OFICIAL · CONSUMO DIÁRIO</x:v>
      </x:c>
      <x:c r="G11" s="81" t="str">
        <x:v>CURVA OFICIAL · CONSUMO DIÁRIO</x:v>
      </x:c>
      <x:c r="H11" s="81" t="str">
        <x:v>CURVA OFICIAL · CONSUMO DIÁRIO</x:v>
      </x:c>
      <x:c r="I11" s="81" t="str">
        <x:v>CURVA OFICIAL · CONSUMO ACUMULADO</x:v>
      </x:c>
      <x:c r="J11" s="81" t="str">
        <x:v>CURVA OFICIAL · CONSUMO ACUMULADO</x:v>
      </x:c>
      <x:c r="K11" s="81" t="str">
        <x:v>CURVA OFICIAL · CONSUMO ACUMULADO</x:v>
      </x:c>
      <x:c r="L11" s="81" t="str">
        <x:v>CURVA OFICIAL · CONSUMO ACUMULADO</x:v>
      </x:c>
      <x:c r="M11" s="81" t="str">
        <x:v>CURVA OFICIAL · CONSUMO ACUMULADO</x:v>
      </x:c>
      <x:c r="N11" s="81" t="str">
        <x:v>CURVA OFICIAL · CONSUMO ACUMULADO</x:v>
      </x:c>
      <x:c r="O11" s="81" t="str">
        <x:v>CURVA OFICIAL · CONSUMO ACUMULADO</x:v>
      </x:c>
    </x:row>
    <x:row r="12">
      <x:c r="A12" s="101"/>
      <x:c r="B12" s="101"/>
      <x:c r="C12" s="101"/>
      <x:c r="D12" s="101"/>
      <x:c r="E12" s="101"/>
      <x:c r="F12" s="101"/>
      <x:c r="G12" s="101"/>
      <x:c r="H12" s="101"/>
      <x:c r="I12" s="101"/>
      <x:c r="J12" s="101"/>
      <x:c r="K12" s="101"/>
      <x:c r="L12" s="101"/>
      <x:c r="M12" s="101"/>
      <x:c r="N12" s="101"/>
      <x:c r="O12" s="101"/>
    </x:row>
    <x:row r="13">
      <x:c r="A13" s="101"/>
      <x:c r="B13" s="101"/>
      <x:c r="C13" s="101"/>
      <x:c r="D13" s="101"/>
      <x:c r="E13" s="101"/>
      <x:c r="F13" s="101"/>
      <x:c r="G13" s="101"/>
      <x:c r="H13" s="101"/>
      <x:c r="I13" s="101"/>
      <x:c r="J13" s="101"/>
      <x:c r="K13" s="101"/>
      <x:c r="L13" s="101"/>
      <x:c r="M13" s="101"/>
      <x:c r="N13" s="101"/>
      <x:c r="O13" s="101"/>
    </x:row>
    <x:row r="14">
      <x:c r="A14" s="101"/>
      <x:c r="B14" s="101"/>
      <x:c r="C14" s="101"/>
      <x:c r="D14" s="101"/>
      <x:c r="E14" s="101"/>
      <x:c r="F14" s="101"/>
      <x:c r="G14" s="101"/>
      <x:c r="H14" s="101"/>
      <x:c r="I14" s="101"/>
      <x:c r="J14" s="101"/>
      <x:c r="K14" s="101"/>
      <x:c r="L14" s="101"/>
      <x:c r="M14" s="101"/>
      <x:c r="N14" s="101"/>
      <x:c r="O14" s="101"/>
    </x:row>
    <x:row r="15">
      <x:c r="A15" s="101"/>
      <x:c r="B15" s="101"/>
      <x:c r="C15" s="101"/>
      <x:c r="D15" s="101"/>
      <x:c r="E15" s="101"/>
      <x:c r="F15" s="101"/>
      <x:c r="G15" s="101"/>
      <x:c r="H15" s="101"/>
      <x:c r="I15" s="101"/>
      <x:c r="J15" s="101"/>
      <x:c r="K15" s="101"/>
      <x:c r="L15" s="101"/>
      <x:c r="M15" s="101"/>
      <x:c r="N15" s="101"/>
      <x:c r="O15" s="101"/>
    </x:row>
    <x:row r="16">
      <x:c r="A16" s="101"/>
      <x:c r="B16" s="101"/>
      <x:c r="C16" s="101"/>
      <x:c r="D16" s="101"/>
      <x:c r="E16" s="101"/>
      <x:c r="F16" s="101"/>
      <x:c r="G16" s="101"/>
      <x:c r="H16" s="101"/>
      <x:c r="I16" s="101"/>
      <x:c r="J16" s="101"/>
      <x:c r="K16" s="101"/>
      <x:c r="L16" s="101"/>
      <x:c r="M16" s="101"/>
      <x:c r="N16" s="101"/>
      <x:c r="O16" s="101"/>
    </x:row>
    <x:row r="17">
      <x:c r="A17" s="101"/>
      <x:c r="B17" s="101"/>
      <x:c r="C17" s="101"/>
      <x:c r="D17" s="101"/>
      <x:c r="E17" s="101"/>
      <x:c r="F17" s="101"/>
      <x:c r="G17" s="101"/>
      <x:c r="H17" s="101"/>
      <x:c r="I17" s="101"/>
      <x:c r="J17" s="101"/>
      <x:c r="K17" s="101"/>
      <x:c r="L17" s="101"/>
      <x:c r="M17" s="101"/>
      <x:c r="N17" s="101"/>
      <x:c r="O17" s="101"/>
    </x:row>
    <x:row r="18">
      <x:c r="A18" s="101"/>
      <x:c r="B18" s="101"/>
      <x:c r="C18" s="101"/>
      <x:c r="D18" s="101"/>
      <x:c r="E18" s="101"/>
      <x:c r="F18" s="101"/>
      <x:c r="G18" s="101"/>
      <x:c r="H18" s="101"/>
      <x:c r="I18" s="101"/>
      <x:c r="J18" s="101"/>
      <x:c r="K18" s="101"/>
      <x:c r="L18" s="101"/>
      <x:c r="M18" s="101"/>
      <x:c r="N18" s="101"/>
      <x:c r="O18" s="101"/>
    </x:row>
    <x:row r="19">
      <x:c r="A19" s="101"/>
      <x:c r="B19" s="101"/>
      <x:c r="C19" s="101"/>
      <x:c r="D19" s="101"/>
      <x:c r="E19" s="101"/>
      <x:c r="F19" s="101"/>
      <x:c r="G19" s="101"/>
      <x:c r="H19" s="101"/>
      <x:c r="I19" s="101"/>
      <x:c r="J19" s="101"/>
      <x:c r="K19" s="101"/>
      <x:c r="L19" s="101"/>
      <x:c r="M19" s="101"/>
      <x:c r="N19" s="101"/>
      <x:c r="O19" s="101"/>
    </x:row>
    <x:row r="20">
      <x:c r="A20" s="101"/>
      <x:c r="B20" s="101"/>
      <x:c r="C20" s="101"/>
      <x:c r="D20" s="101"/>
      <x:c r="E20" s="101"/>
      <x:c r="F20" s="101"/>
      <x:c r="G20" s="101"/>
      <x:c r="H20" s="101"/>
      <x:c r="I20" s="101"/>
      <x:c r="J20" s="101"/>
      <x:c r="K20" s="101"/>
      <x:c r="L20" s="101"/>
      <x:c r="M20" s="101"/>
      <x:c r="N20" s="101"/>
      <x:c r="O20" s="101"/>
    </x:row>
    <x:row r="21">
      <x:c r="A21" s="101"/>
      <x:c r="B21" s="101"/>
      <x:c r="C21" s="101"/>
      <x:c r="D21" s="101"/>
      <x:c r="E21" s="101"/>
      <x:c r="F21" s="101"/>
      <x:c r="G21" s="101"/>
      <x:c r="H21" s="101"/>
      <x:c r="I21" s="101"/>
      <x:c r="J21" s="101"/>
      <x:c r="K21" s="101"/>
      <x:c r="L21" s="101"/>
      <x:c r="M21" s="101"/>
      <x:c r="N21" s="101"/>
      <x:c r="O21" s="101"/>
    </x:row>
    <x:row r="22">
      <x:c r="A22" s="101"/>
      <x:c r="B22" s="101"/>
      <x:c r="C22" s="101"/>
      <x:c r="D22" s="101"/>
      <x:c r="E22" s="101"/>
      <x:c r="F22" s="101"/>
      <x:c r="G22" s="101"/>
      <x:c r="H22" s="101"/>
      <x:c r="I22" s="101"/>
      <x:c r="J22" s="101"/>
      <x:c r="K22" s="101"/>
      <x:c r="L22" s="101"/>
      <x:c r="M22" s="101"/>
      <x:c r="N22" s="101"/>
      <x:c r="O22" s="101"/>
    </x:row>
    <x:row r="23">
      <x:c r="A23" s="101"/>
      <x:c r="B23" s="101"/>
      <x:c r="C23" s="101"/>
      <x:c r="D23" s="101"/>
      <x:c r="E23" s="101"/>
      <x:c r="F23" s="101"/>
      <x:c r="G23" s="101"/>
      <x:c r="H23" s="101"/>
      <x:c r="I23" s="101"/>
      <x:c r="J23" s="101"/>
      <x:c r="K23" s="101"/>
      <x:c r="L23" s="101"/>
      <x:c r="M23" s="101"/>
      <x:c r="N23" s="101"/>
      <x:c r="O23" s="101"/>
    </x:row>
    <x:row r="24">
      <x:c r="A24" s="101"/>
      <x:c r="B24" s="101"/>
      <x:c r="C24" s="101"/>
      <x:c r="D24" s="101"/>
      <x:c r="E24" s="101"/>
      <x:c r="F24" s="101"/>
      <x:c r="G24" s="101"/>
      <x:c r="H24" s="101"/>
      <x:c r="I24" s="101"/>
      <x:c r="J24" s="101"/>
      <x:c r="K24" s="101"/>
      <x:c r="L24" s="101"/>
      <x:c r="M24" s="101"/>
      <x:c r="N24" s="101"/>
      <x:c r="O24" s="101"/>
    </x:row>
    <x:row r="25">
      <x:c r="A25" s="101"/>
      <x:c r="B25" s="101"/>
      <x:c r="C25" s="101"/>
      <x:c r="D25" s="101"/>
      <x:c r="E25" s="101"/>
      <x:c r="F25" s="101"/>
      <x:c r="G25" s="101"/>
      <x:c r="H25" s="101"/>
      <x:c r="I25" s="101"/>
      <x:c r="J25" s="101"/>
      <x:c r="K25" s="101"/>
      <x:c r="L25" s="101"/>
      <x:c r="M25" s="101"/>
      <x:c r="N25" s="101"/>
      <x:c r="O25" s="101"/>
    </x:row>
    <x:row r="26">
      <x:c r="A26" s="101"/>
      <x:c r="B26" s="101"/>
      <x:c r="C26" s="101"/>
      <x:c r="D26" s="101"/>
      <x:c r="E26" s="101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</x:row>
    <x:row r="27">
      <x:c r="A27" s="101"/>
      <x:c r="B27" s="101"/>
      <x:c r="C27" s="101"/>
      <x:c r="D27" s="101"/>
      <x:c r="E27" s="101"/>
      <x:c r="F27" s="101"/>
      <x:c r="G27" s="101"/>
      <x:c r="H27" s="101"/>
      <x:c r="I27" s="101"/>
      <x:c r="J27" s="101"/>
      <x:c r="K27" s="101"/>
      <x:c r="L27" s="101"/>
      <x:c r="M27" s="101"/>
      <x:c r="N27" s="101"/>
      <x:c r="O27" s="101"/>
    </x:row>
    <x:row r="28">
      <x:c r="A28" s="101"/>
      <x:c r="B28" s="101"/>
      <x:c r="C28" s="101"/>
      <x:c r="D28" s="101"/>
      <x:c r="E28" s="101"/>
      <x:c r="F28" s="101"/>
      <x:c r="G28" s="101"/>
      <x:c r="H28" s="101"/>
      <x:c r="I28" s="101"/>
      <x:c r="J28" s="101"/>
      <x:c r="K28" s="101"/>
      <x:c r="L28" s="101"/>
      <x:c r="M28" s="101"/>
      <x:c r="N28" s="101"/>
      <x:c r="O28" s="101"/>
    </x:row>
    <x:row r="29">
      <x:c r="A29" s="101"/>
      <x:c r="B29" s="101"/>
      <x:c r="C29" s="101"/>
      <x:c r="D29" s="101"/>
      <x:c r="E29" s="101"/>
      <x:c r="F29" s="101"/>
      <x:c r="G29" s="101"/>
      <x:c r="H29" s="101"/>
      <x:c r="I29" s="101"/>
      <x:c r="J29" s="101"/>
      <x:c r="K29" s="101"/>
      <x:c r="L29" s="101"/>
      <x:c r="M29" s="101"/>
      <x:c r="N29" s="101"/>
      <x:c r="O29" s="101"/>
    </x:row>
    <x:row r="30" ht="24" customHeight="1">
      <x:c r="A30" s="81" t="str">
        <x:v>EVOLUÇÃO SEMANAL</x:v>
      </x:c>
      <x:c r="B30" s="81" t="str">
        <x:v>EVOLUÇÃO SEMANAL</x:v>
      </x:c>
      <x:c r="C30" s="81" t="str">
        <x:v>EVOLUÇÃO SEMANAL</x:v>
      </x:c>
      <x:c r="D30" s="81" t="str">
        <x:v>EVOLUÇÃO SEMANAL</x:v>
      </x:c>
      <x:c r="E30" s="81" t="str">
        <x:v>EVOLUÇÃO SEMANAL</x:v>
      </x:c>
      <x:c r="F30" s="81" t="str">
        <x:v>EVOLUÇÃO SEMANAL</x:v>
      </x:c>
      <x:c r="G30" s="81" t="str">
        <x:v>EVOLUÇÃO SEMANAL</x:v>
      </x:c>
      <x:c r="H30" s="81" t="str">
        <x:v>EVOLUÇÃO SEMANAL</x:v>
      </x:c>
      <x:c r="I30" s="81" t="str">
        <x:v>EVOLUÇÃO POR FASE</x:v>
      </x:c>
      <x:c r="J30" s="81" t="str">
        <x:v>EVOLUÇÃO POR FASE</x:v>
      </x:c>
      <x:c r="K30" s="81" t="str">
        <x:v>EVOLUÇÃO POR FASE</x:v>
      </x:c>
      <x:c r="L30" s="81" t="str">
        <x:v>EVOLUÇÃO POR FASE</x:v>
      </x:c>
      <x:c r="M30" s="81" t="str">
        <x:v>EVOLUÇÃO POR FASE</x:v>
      </x:c>
      <x:c r="N30" s="81" t="str">
        <x:v>EVOLUÇÃO POR FASE</x:v>
      </x:c>
      <x:c r="O30" s="81" t="str">
        <x:v>EVOLUÇÃO POR FASE</x:v>
      </x:c>
    </x:row>
    <x:row r="31">
      <x:c r="A31" s="101"/>
      <x:c r="B31" s="101"/>
      <x:c r="C31" s="101"/>
      <x:c r="D31" s="101"/>
      <x:c r="E31" s="101"/>
      <x:c r="F31" s="101"/>
      <x:c r="G31" s="101"/>
      <x:c r="H31" s="101"/>
      <x:c r="I31" s="101"/>
      <x:c r="J31" s="101"/>
      <x:c r="K31" s="101"/>
      <x:c r="L31" s="101"/>
      <x:c r="M31" s="101"/>
      <x:c r="N31" s="101"/>
      <x:c r="O31" s="101"/>
    </x:row>
    <x:row r="32">
      <x:c r="A32" s="101"/>
      <x:c r="B32" s="101"/>
      <x:c r="C32" s="101"/>
      <x:c r="D32" s="101"/>
      <x:c r="E32" s="101"/>
      <x:c r="F32" s="101"/>
      <x:c r="G32" s="101"/>
      <x:c r="H32" s="101"/>
      <x:c r="I32" s="101"/>
      <x:c r="J32" s="101"/>
      <x:c r="K32" s="101"/>
      <x:c r="L32" s="101"/>
      <x:c r="M32" s="101"/>
      <x:c r="N32" s="101"/>
      <x:c r="O32" s="101"/>
    </x:row>
    <x:row r="33">
      <x:c r="A33" s="101"/>
      <x:c r="B33" s="101"/>
      <x:c r="C33" s="101"/>
      <x:c r="D33" s="101"/>
      <x:c r="E33" s="101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</x:row>
    <x:row r="34">
      <x:c r="A34" s="101"/>
      <x:c r="B34" s="101"/>
      <x:c r="C34" s="101"/>
      <x:c r="D34" s="101"/>
      <x:c r="E34" s="101"/>
      <x:c r="F34" s="101"/>
      <x:c r="G34" s="101"/>
      <x:c r="H34" s="101"/>
      <x:c r="I34" s="101"/>
      <x:c r="J34" s="101"/>
      <x:c r="K34" s="101"/>
      <x:c r="L34" s="101"/>
      <x:c r="M34" s="101"/>
      <x:c r="N34" s="101"/>
      <x:c r="O34" s="101"/>
    </x:row>
    <x:row r="35">
      <x:c r="A35" s="101"/>
      <x:c r="B35" s="101"/>
      <x:c r="C35" s="101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</x:row>
    <x:row r="36">
      <x:c r="A36" s="101"/>
      <x:c r="B36" s="101"/>
      <x:c r="C36" s="101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</x:row>
    <x:row r="37">
      <x:c r="A37" s="101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</x:row>
    <x:row r="38">
      <x:c r="A38" s="101"/>
      <x:c r="B38" s="101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</x:row>
    <x:row r="39">
      <x:c r="A39" s="101"/>
      <x:c r="B39" s="101"/>
      <x:c r="C39" s="101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</x:row>
    <x:row r="40">
      <x:c r="A40" s="101"/>
      <x:c r="B40" s="101"/>
      <x:c r="C40" s="101"/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</x:row>
    <x:row r="41">
      <x:c r="A41" s="101"/>
      <x:c r="B41" s="101"/>
      <x:c r="C41" s="101"/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</x:row>
    <x:row r="42">
      <x:c r="A42" s="101"/>
      <x:c r="B42" s="101"/>
      <x:c r="C42" s="101"/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</x:row>
    <x:row r="43">
      <x:c r="A43" s="101"/>
      <x:c r="B43" s="101"/>
      <x:c r="C43" s="101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</x:row>
    <x:row r="45">
      <x:c r="A45" s="101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</x:row>
    <x:row r="49" ht="24" customHeight="1">
      <x:c r="A49" s="167" t="str">
        <x:v>GranjaFlow · Inteligência de Consumo · Gestão inteligente para granjas</x:v>
      </x:c>
      <x:c r="B49" s="167" t="str">
        <x:v>GranjaFlow · Inteligência de Consumo · Gestão inteligente para granjas</x:v>
      </x:c>
      <x:c r="C49" s="167" t="str">
        <x:v>GranjaFlow · Inteligência de Consumo · Gestão inteligente para granjas</x:v>
      </x:c>
      <x:c r="D49" s="167" t="str">
        <x:v>GranjaFlow · Inteligência de Consumo · Gestão inteligente para granjas</x:v>
      </x:c>
      <x:c r="E49" s="167" t="str">
        <x:v>GranjaFlow · Inteligência de Consumo · Gestão inteligente para granjas</x:v>
      </x:c>
      <x:c r="F49" s="167" t="str">
        <x:v>GranjaFlow · Inteligência de Consumo · Gestão inteligente para granjas</x:v>
      </x:c>
      <x:c r="G49" s="167" t="str">
        <x:v>GranjaFlow · Inteligência de Consumo · Gestão inteligente para granjas</x:v>
      </x:c>
      <x:c r="H49" s="167" t="str">
        <x:v>GranjaFlow · Inteligência de Consumo · Gestão inteligente para granjas</x:v>
      </x:c>
      <x:c r="I49" s="167" t="str">
        <x:v>GranjaFlow · Inteligência de Consumo · Gestão inteligente para granjas</x:v>
      </x:c>
      <x:c r="J49" s="167" t="str">
        <x:v>GranjaFlow · Inteligência de Consumo · Gestão inteligente para granjas</x:v>
      </x:c>
      <x:c r="K49" s="167" t="str">
        <x:v>GranjaFlow · Inteligência de Consumo · Gestão inteligente para granjas</x:v>
      </x:c>
      <x:c r="L49" s="167" t="str">
        <x:v>GranjaFlow · Inteligência de Consumo · Gestão inteligente para granjas</x:v>
      </x:c>
      <x:c r="M49" s="167" t="str">
        <x:v>GranjaFlow · Inteligência de Consumo · Gestão inteligente para granjas</x:v>
      </x:c>
      <x:c r="N49" s="167" t="str">
        <x:v>GranjaFlow · Inteligência de Consumo · Gestão inteligente para granjas</x:v>
      </x:c>
      <x:c r="O49" s="167" t="str">
        <x:v>GranjaFlow · Inteligência de Consumo · Gestão inteligente para granjas</x:v>
      </x:c>
    </x:row>
    <x:row r="50" ht="24" customHeight="1">
      <x:c r="A50" s="167" t="str">
        <x:v>GranjaFlow · Inteligência de Consumo · Gestão inteligente para granjas</x:v>
      </x:c>
      <x:c r="B50" s="167" t="str">
        <x:v>GranjaFlow · Inteligência de Consumo · Gestão inteligente para granjas</x:v>
      </x:c>
      <x:c r="C50" s="167" t="str">
        <x:v>GranjaFlow · Inteligência de Consumo · Gestão inteligente para granjas</x:v>
      </x:c>
      <x:c r="D50" s="167" t="str">
        <x:v>GranjaFlow · Inteligência de Consumo · Gestão inteligente para granjas</x:v>
      </x:c>
      <x:c r="E50" s="167" t="str">
        <x:v>GranjaFlow · Inteligência de Consumo · Gestão inteligente para granjas</x:v>
      </x:c>
      <x:c r="F50" s="167" t="str">
        <x:v>GranjaFlow · Inteligência de Consumo · Gestão inteligente para granjas</x:v>
      </x:c>
      <x:c r="G50" s="167" t="str">
        <x:v>GranjaFlow · Inteligência de Consumo · Gestão inteligente para granjas</x:v>
      </x:c>
      <x:c r="H50" s="167" t="str">
        <x:v>GranjaFlow · Inteligência de Consumo · Gestão inteligente para granjas</x:v>
      </x:c>
      <x:c r="I50" s="167" t="str">
        <x:v>GranjaFlow · Inteligência de Consumo · Gestão inteligente para granjas</x:v>
      </x:c>
      <x:c r="J50" s="167" t="str">
        <x:v>GranjaFlow · Inteligência de Consumo · Gestão inteligente para granjas</x:v>
      </x:c>
      <x:c r="K50" s="167" t="str">
        <x:v>GranjaFlow · Inteligência de Consumo · Gestão inteligente para granjas</x:v>
      </x:c>
      <x:c r="L50" s="167" t="str">
        <x:v>GranjaFlow · Inteligência de Consumo · Gestão inteligente para granjas</x:v>
      </x:c>
      <x:c r="M50" s="167" t="str">
        <x:v>GranjaFlow · Inteligência de Consumo · Gestão inteligente para granjas</x:v>
      </x:c>
      <x:c r="N50" s="167" t="str">
        <x:v>GranjaFlow · Inteligência de Consumo · Gestão inteligente para granjas</x:v>
      </x:c>
      <x:c r="O50" s="167" t="str">
        <x:v>GranjaFlow · Inteligência de Consumo · Gestão inteligente para granjas</x:v>
      </x:c>
    </x:row>
  </x:sheetData>
  <x:mergeCells>
    <x:mergeCell ref="A1:C4"/>
    <x:mergeCell ref="D1:O3"/>
    <x:mergeCell ref="D4:O4"/>
    <x:mergeCell ref="A6:C7"/>
    <x:mergeCell ref="A8:C9"/>
    <x:mergeCell ref="D6:F7"/>
    <x:mergeCell ref="D8:F9"/>
    <x:mergeCell ref="G6:I7"/>
    <x:mergeCell ref="G8:I9"/>
    <x:mergeCell ref="J6:L7"/>
    <x:mergeCell ref="J8:L9"/>
    <x:mergeCell ref="M6:O7"/>
    <x:mergeCell ref="M8:O9"/>
    <x:mergeCell ref="A11:H11"/>
    <x:mergeCell ref="I11:O11"/>
    <x:mergeCell ref="A30:H30"/>
    <x:mergeCell ref="I30:O30"/>
    <x:mergeCell ref="A49:O50"/>
  </x:mergeCells>
  <x:pageMargins left="0.7" right="0.7" top="0.75" bottom="0.75" header="0.3" footer="0.3"/>
  <x:drawing xmlns:r="http://schemas.openxmlformats.org/officeDocument/2006/relationships" r:id="Rb11b1d118d044c8c"/>
</x:worksheet>
</file>